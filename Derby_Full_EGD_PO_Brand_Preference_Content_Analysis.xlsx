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ll EGD Themes" sheetId="2" state="visible" r:id="rId4"/>
    <sheet name="EGD Group Profiles" sheetId="3" state="visible" r:id="rId5"/>
    <sheet name="EGD Section Coverage" sheetId="4" state="visible" r:id="rId6"/>
    <sheet name="EGD Evidence" sheetId="5" state="visible" r:id="rId7"/>
    <sheet name="PO Brand Preference" sheetId="6" state="visible" r:id="rId8"/>
    <sheet name="Implications" sheetId="7" state="visible" r:id="rId9"/>
    <sheet name="Source Audit" sheetId="8" state="visible" r:id="rId10"/>
  </sheets>
  <definedNames>
    <definedName function="false" hidden="true" localSheetId="4" name="_xlnm._FilterDatabase" vbProcedure="false">'EGD Evidence'!$A$5:$H$66</definedName>
    <definedName function="false" hidden="true" localSheetId="2" name="_xlnm._FilterDatabase" vbProcedure="false">'EGD Group Profiles'!$A$5:$L$9</definedName>
    <definedName function="false" hidden="true" localSheetId="3" name="_xlnm._FilterDatabase" vbProcedure="false">'EGD Section Coverage'!$A$5:$G$93</definedName>
    <definedName function="false" hidden="true" localSheetId="1" name="_xlnm._FilterDatabase" vbProcedure="false">'Full EGD Themes'!$A$5:$J$23</definedName>
    <definedName function="false" hidden="true" localSheetId="6" name="_xlnm._FilterDatabase" vbProcedure="false">Implications!$A$5:$F$10</definedName>
    <definedName function="false" hidden="true" localSheetId="5" name="_xlnm._FilterDatabase" vbProcedure="false">'PO Brand Preference'!$A$5:$H$9</definedName>
    <definedName function="false" hidden="true" localSheetId="7" name="_xlnm._FilterDatabase" vbProcedure="false">'Source Audit'!$A$5:$H$13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<sst xmlns="http://schemas.openxmlformats.org/spreadsheetml/2006/main" count="1381" uniqueCount="771">
  <si>
    <t xml:space="preserve">Derby full EGD content analysis</t>
  </si>
  <si>
    <t xml:space="preserve">Full EGD discussions are primary evidence. PO evidence is restricted to the Cigarette Brand Preference module.</t>
  </si>
  <si>
    <t xml:space="preserve">Evidence base</t>
  </si>
  <si>
    <t xml:space="preserve">Value proposition</t>
  </si>
  <si>
    <t xml:space="preserve">Main vulnerability</t>
  </si>
  <si>
    <t xml:space="preserve">Conversion condition</t>
  </si>
  <si>
    <t xml:space="preserve">Status tension</t>
  </si>
  <si>
    <t xml:space="preserve">Full EGD coverage</t>
  </si>
  <si>
    <t xml:space="preserve">PO boundary</t>
  </si>
  <si>
    <t xml:space="preserve">Method</t>
  </si>
  <si>
    <t xml:space="preserve">4 complete EGDs
~28 participants</t>
  </si>
  <si>
    <t xml:space="preserve">Affordable, strong and smoky everyday satisfaction</t>
  </si>
  <si>
    <t xml:space="preserve">Persistent odor, then filter and burn execution</t>
  </si>
  <si>
    <t xml:space="preserve">Same price, Derby-like feel, better filter and less odor</t>
  </si>
  <si>
    <t xml:space="preserve">Everyday fit is stronger than visible-status fit</t>
  </si>
  <si>
    <t xml:space="preserve">88 source sections or paragraph bands included</t>
  </si>
  <si>
    <t xml:space="preserve">4 PO interviews; brand preference section only</t>
  </si>
  <si>
    <t xml:space="preserve">Qualitative group-level thematic analysis</t>
  </si>
  <si>
    <t xml:space="preserve">No.</t>
  </si>
  <si>
    <t xml:space="preserve">Area</t>
  </si>
  <si>
    <t xml:space="preserve">Finding</t>
  </si>
  <si>
    <t xml:space="preserve">1</t>
  </si>
  <si>
    <t xml:space="preserve">Life context</t>
  </si>
  <si>
    <t xml:space="preserve">Participants are managing study, work, family expectation and limited cash while trying to progress socially and economically.</t>
  </si>
  <si>
    <t xml:space="preserve">2</t>
  </si>
  <si>
    <t xml:space="preserve">Role of smoking</t>
  </si>
  <si>
    <t xml:space="preserve">Smoking is attached to morning/night routines, tea, meals, work breaks, stress relief, focus, waiting and adda.</t>
  </si>
  <si>
    <t xml:space="preserve">3</t>
  </si>
  <si>
    <t xml:space="preserve">Why Derby wins</t>
  </si>
  <si>
    <t xml:space="preserve">Derby combines frequent-use affordability with strong regular delivery, visible smoke, availability and learned physical fit.</t>
  </si>
  <si>
    <t xml:space="preserve">4</t>
  </si>
  <si>
    <t xml:space="preserve">Why Derby is vulnerable</t>
  </si>
  <si>
    <t xml:space="preserve">Odor reduces social acceptability. Filter softness/heat, paper, burn and ash issues signal lower execution quality.</t>
  </si>
  <si>
    <t xml:space="preserve">5</t>
  </si>
  <si>
    <t xml:space="preserve">Competitive risk</t>
  </si>
  <si>
    <t xml:space="preserve">At price parity, Star and premium brands gain. Some smokers already trade up for guests, campus or visible occasions.</t>
  </si>
  <si>
    <t xml:space="preserve">6</t>
  </si>
  <si>
    <t xml:space="preserve">How trial converts</t>
  </si>
  <si>
    <t xml:space="preserve">Peers and retailers are more credible than poster copy. Product must retain Derby-like satisfaction while improving filter and odor.</t>
  </si>
  <si>
    <t xml:space="preserve">Priority</t>
  </si>
  <si>
    <t xml:space="preserve">Recommended action</t>
  </si>
  <si>
    <t xml:space="preserve">Reason</t>
  </si>
  <si>
    <t xml:space="preserve">P1</t>
  </si>
  <si>
    <t xml:space="preserve">Reduce lingering odor without reducing strength, smoke volume or taste.</t>
  </si>
  <si>
    <t xml:space="preserve">Odor is the most consistent cross-group product and social barrier.</t>
  </si>
  <si>
    <t xml:space="preserve">P2</t>
  </si>
  <si>
    <t xml:space="preserve">Improve filter-end integrity and burn/paper/ash consistency.</t>
  </si>
  <si>
    <t xml:space="preserve">These are repeated, tangible quality signals.</t>
  </si>
  <si>
    <t xml:space="preserve">P3</t>
  </si>
  <si>
    <t xml:space="preserve">Defend relative value against Star and premium brands before price convergence.</t>
  </si>
  <si>
    <t xml:space="preserve">Equal pricing weakens practical loyalty.</t>
  </si>
  <si>
    <t xml:space="preserve">P4</t>
  </si>
  <si>
    <t xml:space="preserve">Use peer/retailer-led product trial around a clear proof.</t>
  </si>
  <si>
    <t xml:space="preserve">Recommendation and experience are more credible than passive claims.</t>
  </si>
  <si>
    <t xml:space="preserve">Themes across the complete EGDs</t>
  </si>
  <si>
    <t xml:space="preserve">Context, aspiration, media, shopping, category, consumption, brand, product and activation sections are included.</t>
  </si>
  <si>
    <t xml:space="preserve">Code</t>
  </si>
  <si>
    <t xml:space="preserve">Theme</t>
  </si>
  <si>
    <t xml:space="preserve">Evidence summary</t>
  </si>
  <si>
    <t xml:space="preserve">DM3</t>
  </si>
  <si>
    <t xml:space="preserve">DM6</t>
  </si>
  <si>
    <t xml:space="preserve">RM5</t>
  </si>
  <si>
    <t xml:space="preserve">RM2</t>
  </si>
  <si>
    <t xml:space="preserve">Groups</t>
  </si>
  <si>
    <t xml:space="preserve">% groups</t>
  </si>
  <si>
    <t xml:space="preserve">Implication</t>
  </si>
  <si>
    <t xml:space="preserve">F01</t>
  </si>
  <si>
    <t xml:space="preserve">Family duty and upward mobility</t>
  </si>
  <si>
    <t xml:space="preserve">Success is framed through earning, parental security, respectable work and continued progress.</t>
  </si>
  <si>
    <t xml:space="preserve">Position improvement as practical progress and dependability, not distant luxury.</t>
  </si>
  <si>
    <t xml:space="preserve">F02</t>
  </si>
  <si>
    <t xml:space="preserve">Financial pressure shapes daily trade-offs</t>
  </si>
  <si>
    <t xml:space="preserve">Allowances, savings, household contribution and unstable income make value calculations routine.</t>
  </si>
  <si>
    <t xml:space="preserve">Protect affordability and communicate product value in concrete everyday terms.</t>
  </si>
  <si>
    <t xml:space="preserve">F03</t>
  </si>
  <si>
    <t xml:space="preserve">Friendship and adda organize life</t>
  </si>
  <si>
    <t xml:space="preserve">Friends influence leisure, discovery, smoking initiation, brand trial and consumption frequency.</t>
  </si>
  <si>
    <t xml:space="preserve">Use social proof and small-group trial mechanics.</t>
  </si>
  <si>
    <t xml:space="preserve">F04</t>
  </si>
  <si>
    <t xml:space="preserve">Mobile and entertainment are discovery spaces</t>
  </si>
  <si>
    <t xml:space="preserve">Short video, drama, films, games, travel and fashion content shape attention and aspiration.</t>
  </si>
  <si>
    <t xml:space="preserve">Use culturally familiar content environments, within applicable marketing restrictions.</t>
  </si>
  <si>
    <t xml:space="preserve">F05</t>
  </si>
  <si>
    <t xml:space="preserve">Shopping is pragmatic and value-led</t>
  </si>
  <si>
    <t xml:space="preserve">Need, discount, accessibility and trust often matter more than formal brand loyalty in general shopping.</t>
  </si>
  <si>
    <t xml:space="preserve">Make quality proof visible and easy to verify at point of purchase.</t>
  </si>
  <si>
    <t xml:space="preserve">F06</t>
  </si>
  <si>
    <t xml:space="preserve">Brands signal progress and social standing</t>
  </si>
  <si>
    <t xml:space="preserve">Premium products can change how participants expect others to see and treat them.</t>
  </si>
  <si>
    <t xml:space="preserve">Improve Derby's social acceptability without losing its everyday accessibility.</t>
  </si>
  <si>
    <t xml:space="preserve">F07</t>
  </si>
  <si>
    <t xml:space="preserve">Smoking is embedded in routine</t>
  </si>
  <si>
    <t xml:space="preserve">Morning, meals, tea, work breaks, travel, waiting and night-time moments trigger use.</t>
  </si>
  <si>
    <t xml:space="preserve">Understand Derby as a ritual product, not an occasional indulgence.</t>
  </si>
  <si>
    <t xml:space="preserve">F08</t>
  </si>
  <si>
    <t xml:space="preserve">Smoking provides relief, focus and completion</t>
  </si>
  <si>
    <t xml:space="preserve">Participants describe calm, recharge, decision support, concentration and a sense of completion.</t>
  </si>
  <si>
    <t xml:space="preserve">Any product change must preserve the felt satisfaction attached to these moments.</t>
  </si>
  <si>
    <t xml:space="preserve">F09</t>
  </si>
  <si>
    <t xml:space="preserve">Harm and social cost are recognized</t>
  </si>
  <si>
    <t xml:space="preserve">Health concerns, odor and discomfort to non-smokers are understood, but habit often overrides them.</t>
  </si>
  <si>
    <t xml:space="preserve">Reduce avoidable social and sensory costs; do not claim health benefits.</t>
  </si>
  <si>
    <t xml:space="preserve">F10</t>
  </si>
  <si>
    <t xml:space="preserve">Strong regular identity rejects lightness</t>
  </si>
  <si>
    <t xml:space="preserve">Red/regular/strong cigarettes are associated with satisfaction; white/light options often feel insufficient.</t>
  </si>
  <si>
    <t xml:space="preserve">Keep Derby's strong regular character as a product guardrail.</t>
  </si>
  <si>
    <t xml:space="preserve">F11</t>
  </si>
  <si>
    <t xml:space="preserve">Derby owns affordable satisfaction</t>
  </si>
  <si>
    <t xml:space="preserve">Price, strength, smoke and frequent-use economics combine into one value equation.</t>
  </si>
  <si>
    <t xml:space="preserve">Defend value-per-stick rather than competing on low price alone.</t>
  </si>
  <si>
    <t xml:space="preserve">F12</t>
  </si>
  <si>
    <t xml:space="preserve">Peers, availability and habit sustain Derby</t>
  </si>
  <si>
    <t xml:space="preserve">Friends and local availability create entry; repeated physical fit creates inertia.</t>
  </si>
  <si>
    <t xml:space="preserve">Maintain distribution and use credible peer/retailer product experience.</t>
  </si>
  <si>
    <t xml:space="preserve">F13</t>
  </si>
  <si>
    <t xml:space="preserve">Odor is the largest product vulnerability</t>
  </si>
  <si>
    <t xml:space="preserve">Lingering smell limits comfort, acceptance by others and use in visible settings.</t>
  </si>
  <si>
    <t xml:space="preserve">Prioritize odor reduction while preserving strength, smoke and taste.</t>
  </si>
  <si>
    <t xml:space="preserve">F14</t>
  </si>
  <si>
    <t xml:space="preserve">Filter and burn execution signal quality</t>
  </si>
  <si>
    <t xml:space="preserve">Hot/soft filters, peeling cover, quick burn, paper and ash stability recur as quality cues.</t>
  </si>
  <si>
    <t xml:space="preserve">Improve end-of-stick filter integrity and burn consistency.</t>
  </si>
  <si>
    <t xml:space="preserve">F15</t>
  </si>
  <si>
    <t xml:space="preserve">Price parity encourages trade-up</t>
  </si>
  <si>
    <t xml:space="preserve">When the economic gap narrows, Star and premium brands gain on quality and status.</t>
  </si>
  <si>
    <t xml:space="preserve">Track relative price gaps and add a clear quality reason to remain with Derby.</t>
  </si>
  <si>
    <t xml:space="preserve">F16</t>
  </si>
  <si>
    <t xml:space="preserve">Everyday loyalty has a status gap</t>
  </si>
  <si>
    <t xml:space="preserve">Derby suits self/everyday use, while premium brands can be preferred for campus, guests or senior company.</t>
  </si>
  <si>
    <t xml:space="preserve">Address odor and visible quality cues to improve occasion stretch.</t>
  </si>
  <si>
    <t xml:space="preserve">F17</t>
  </si>
  <si>
    <t xml:space="preserve">Product proof converts better than pack alone</t>
  </si>
  <si>
    <t xml:space="preserve">Pack can attract attention, but peers, retailers and actual product performance determine repeat use.</t>
  </si>
  <si>
    <t xml:space="preserve">Lead sampling with familiar satisfaction, better filter and less odor.</t>
  </si>
  <si>
    <t xml:space="preserve">F18</t>
  </si>
  <si>
    <t xml:space="preserve">Derby communication is under-recognized</t>
  </si>
  <si>
    <t xml:space="preserve">Competitor or retailer activity is recalled more readily than Derby communication in three groups.</t>
  </si>
  <si>
    <t xml:space="preserve">Build retailer visibility around demonstrable product improvements.</t>
  </si>
  <si>
    <t xml:space="preserve">Counting rule: 1 = theme present in that EGD group, 0 = not evidenced. Prevalence is per group, not per participant.</t>
  </si>
  <si>
    <t xml:space="preserve">EGD group profiles</t>
  </si>
  <si>
    <t xml:space="preserve">Each row summarizes the complete discussion before interpreting Derby preference.</t>
  </si>
  <si>
    <t xml:space="preserve">Group</t>
  </si>
  <si>
    <t xml:space="preserve">City</t>
  </si>
  <si>
    <t xml:space="preserve">Segment</t>
  </si>
  <si>
    <t xml:space="preserve">Age</t>
  </si>
  <si>
    <t xml:space="preserve">SEC</t>
  </si>
  <si>
    <t xml:space="preserve">Participants</t>
  </si>
  <si>
    <t xml:space="preserve">Dreams and pressures</t>
  </si>
  <si>
    <t xml:space="preserve">Media and culture</t>
  </si>
  <si>
    <t xml:space="preserve">Shopping and money</t>
  </si>
  <si>
    <t xml:space="preserve">Smoking and Derby role</t>
  </si>
  <si>
    <t xml:space="preserve">Main tension</t>
  </si>
  <si>
    <t xml:space="preserve">Dhaka Metro</t>
  </si>
  <si>
    <t xml:space="preserve">Explorer</t>
  </si>
  <si>
    <t xml:space="preserve">19–24</t>
  </si>
  <si>
    <t xml:space="preserve">SEC D–E</t>
  </si>
  <si>
    <t xml:space="preserve">Students and young workers. Daily life centers on study/work, friends, mobile use and careful allocation of limited personal money.</t>
  </si>
  <si>
    <t xml:space="preserve">Success means earning capacity, parental security and continued progress. Family expectations create pressure.</t>
  </si>
  <si>
    <t xml:space="preserve">Travel, Bangla/Hindi entertainment, short video, fashion content and peer observation shape interests and choices.</t>
  </si>
  <si>
    <t xml:space="preserve">Discounts and price-quality balance matter. Online trust is mixed; purchases are adjusted within allowance or daily cash.</t>
  </si>
  <si>
    <t xml:space="preserve">Smoking is woven into breaks, friendship and daily completion. Derby is the affordable mid-strength regular choice.</t>
  </si>
  <si>
    <t xml:space="preserve">Odor, fast burn and hot/soft filter weaken an otherwise strong value proposition.</t>
  </si>
  <si>
    <t xml:space="preserve">25–29</t>
  </si>
  <si>
    <t xml:space="preserve">Early-career workers, small-business participants and job aspirants. Work pressure and long hours shape routines.</t>
  </si>
  <si>
    <t xml:space="preserve">More income sources, respectable employment and business progress are central goals. Status is linked with recognition and achievement.</t>
  </si>
  <si>
    <t xml:space="preserve">Mobile use, theatre, entertainment and accessible mid-priced brands/products matter more than exclusive luxury alone.</t>
  </si>
  <si>
    <t xml:space="preserve">Budgeting and saving are explicit. Availability during travel or in rural areas is important.</t>
  </si>
  <si>
    <t xml:space="preserve">Cigarettes mark breaks, relief and social connection. Derby wins through satisfaction, price, peer use and availability.</t>
  </si>
  <si>
    <t xml:space="preserve">Filter-end softness/heat and odor are clear gaps; equal pricing opens premium trade-up.</t>
  </si>
  <si>
    <t xml:space="preserve">Rajshahi Metro</t>
  </si>
  <si>
    <t xml:space="preserve">Mostly students with study, tea-stall, campus and friend-circle routines. Financial dependence on family is still visible.</t>
  </si>
  <si>
    <t xml:space="preserve">Employment, income growth, side income, family repayment and social advancement define success; job scarcity creates anxiety.</t>
  </si>
  <si>
    <t xml:space="preserve">Life-related films, games, music and social content support identification and escape. Shopping is mainly need-led.</t>
  </si>
  <si>
    <t xml:space="preserve">Smoking spend is relatively protected even when other social expenditure is reduced.</t>
  </si>
  <si>
    <t xml:space="preserve">Tea, adda and cigarettes form repeated daily rituals. Derby is the strongest satisfying option inside the student budget.</t>
  </si>
  <si>
    <t xml:space="preserve">Persistent odor is the dominant social barrier; pack cannot compensate for product experience.</t>
  </si>
  <si>
    <t xml:space="preserve">Image Seeker</t>
  </si>
  <si>
    <t xml:space="preserve">Young working men with strong friendship networks and routines built around work, tea, travel and night-time socializing.</t>
  </si>
  <si>
    <t xml:space="preserve">Brands are understood as markers of progress, respect and status. Economic realism remains central to everyday choice.</t>
  </si>
  <si>
    <t xml:space="preserve">Brand symbolism, peer observation and interpersonal recommendation matter more than passive poster claims.</t>
  </si>
  <si>
    <t xml:space="preserve">Pack versus single-stick purchase follows location, convenience and expected consumption; Derby's ubiquity reduces search effort.</t>
  </si>
  <si>
    <t xml:space="preserve">Cigarettes provide completion, focus, relief, company and social bonding. Derby is habitual, affordable, strong and smoky.</t>
  </si>
  <si>
    <t xml:space="preserve">Odor, soft filter and low-class/rural imagery create tension with status aspiration.</t>
  </si>
  <si>
    <t xml:space="preserve">Full EGD coverage register</t>
  </si>
  <si>
    <t xml:space="preserve">All tagged sections from the three checked EGD spreadsheets and all paragraph bands from the RM2 EGD DOCX are included.</t>
  </si>
  <si>
    <t xml:space="preserve">Section family</t>
  </si>
  <si>
    <t xml:space="preserve">Source section</t>
  </si>
  <si>
    <t xml:space="preserve">Source location</t>
  </si>
  <si>
    <t xml:space="preserve">Transcript records</t>
  </si>
  <si>
    <t xml:space="preserve">Included</t>
  </si>
  <si>
    <t xml:space="preserve">Current source file</t>
  </si>
  <si>
    <t xml:space="preserve">Life, aspiration and media</t>
  </si>
  <si>
    <t xml:space="preserve">Intro</t>
  </si>
  <si>
    <t xml:space="preserve">rows 3–189</t>
  </si>
  <si>
    <t xml:space="preserve">Yes</t>
  </si>
  <si>
    <t xml:space="preserve">Checked_Dm3_EGD_Renshe_BD00239_Dhaka Metro_Male_D.E_19-24yrs_Derby User_Subroto_LK.xlsx</t>
  </si>
  <si>
    <t xml:space="preserve">Daily routine</t>
  </si>
  <si>
    <t xml:space="preserve">rows 190–380</t>
  </si>
  <si>
    <t xml:space="preserve">Dreams</t>
  </si>
  <si>
    <t xml:space="preserve">rows 381–529</t>
  </si>
  <si>
    <t xml:space="preserve">Entertainment</t>
  </si>
  <si>
    <t xml:space="preserve">rows 530–638</t>
  </si>
  <si>
    <t xml:space="preserve">Shopping</t>
  </si>
  <si>
    <t xml:space="preserve">rows 639–691</t>
  </si>
  <si>
    <t xml:space="preserve">Media habit</t>
  </si>
  <si>
    <t xml:space="preserve">rows 692–1001</t>
  </si>
  <si>
    <t xml:space="preserve">Perfect life</t>
  </si>
  <si>
    <t xml:space="preserve">rows 1002–1079</t>
  </si>
  <si>
    <t xml:space="preserve">Category and consumption</t>
  </si>
  <si>
    <t xml:space="preserve">Word game</t>
  </si>
  <si>
    <t xml:space="preserve">rows 1080–1139</t>
  </si>
  <si>
    <t xml:space="preserve">Category understanding</t>
  </si>
  <si>
    <t xml:space="preserve">rows 1140–2354</t>
  </si>
  <si>
    <t xml:space="preserve">Collecting money</t>
  </si>
  <si>
    <t xml:space="preserve">rows 2355–2462</t>
  </si>
  <si>
    <t xml:space="preserve">Consumsion journey</t>
  </si>
  <si>
    <t xml:space="preserve">rows 2463–2679</t>
  </si>
  <si>
    <t xml:space="preserve">Brand and product</t>
  </si>
  <si>
    <t xml:space="preserve">Appeal</t>
  </si>
  <si>
    <t xml:space="preserve">rows 2680–2694</t>
  </si>
  <si>
    <t xml:space="preserve">Alternative brand</t>
  </si>
  <si>
    <t xml:space="preserve">rows 2695–2777</t>
  </si>
  <si>
    <t xml:space="preserve">Rejected brand</t>
  </si>
  <si>
    <t xml:space="preserve">rows 2778–2798</t>
  </si>
  <si>
    <t xml:space="preserve">Awareness, activation and future</t>
  </si>
  <si>
    <t xml:space="preserve">Purchase indicators</t>
  </si>
  <si>
    <t xml:space="preserve">rows 2799–2849</t>
  </si>
  <si>
    <t xml:space="preserve">Brand persona</t>
  </si>
  <si>
    <t xml:space="preserve">rows 2850–2881</t>
  </si>
  <si>
    <t xml:space="preserve">Celebrity association</t>
  </si>
  <si>
    <t xml:space="preserve">rows 2882–2919</t>
  </si>
  <si>
    <t xml:space="preserve">Pack</t>
  </si>
  <si>
    <t xml:space="preserve">rows 2920–2983</t>
  </si>
  <si>
    <t xml:space="preserve">Stimulus</t>
  </si>
  <si>
    <t xml:space="preserve">rows 2984–3015</t>
  </si>
  <si>
    <t xml:space="preserve">Prices</t>
  </si>
  <si>
    <t xml:space="preserve">rows 3016–3062</t>
  </si>
  <si>
    <t xml:space="preserve">Improvement</t>
  </si>
  <si>
    <t xml:space="preserve">rows 3063–3066</t>
  </si>
  <si>
    <t xml:space="preserve">Consupmtion habit</t>
  </si>
  <si>
    <t xml:space="preserve">rows 3067–3111</t>
  </si>
  <si>
    <t xml:space="preserve">Promotional activities</t>
  </si>
  <si>
    <t xml:space="preserve">rows 3112–3191</t>
  </si>
  <si>
    <t xml:space="preserve">Best design</t>
  </si>
  <si>
    <t xml:space="preserve">rows 3192–3317</t>
  </si>
  <si>
    <t xml:space="preserve">rows 2–278</t>
  </si>
  <si>
    <t xml:space="preserve">Checked_DM6_EGDs_Renshe_BD00239_Dhaka Metro_Male_25-29yrs_3.30pm_D.E._Explorer_Subroto_LK.xlsx</t>
  </si>
  <si>
    <t xml:space="preserve">Daily Routine</t>
  </si>
  <si>
    <t xml:space="preserve">rows 279–413</t>
  </si>
  <si>
    <t xml:space="preserve">rows 414–572</t>
  </si>
  <si>
    <t xml:space="preserve">Concern</t>
  </si>
  <si>
    <t xml:space="preserve">rows 573–652</t>
  </si>
  <si>
    <t xml:space="preserve">rows 653–713</t>
  </si>
  <si>
    <t xml:space="preserve">Touch points</t>
  </si>
  <si>
    <t xml:space="preserve">rows 714–898</t>
  </si>
  <si>
    <t xml:space="preserve">Media Habit</t>
  </si>
  <si>
    <t xml:space="preserve">rows 899–1221</t>
  </si>
  <si>
    <t xml:space="preserve">Shopping/touch point</t>
  </si>
  <si>
    <t xml:space="preserve">rows 1222–1311</t>
  </si>
  <si>
    <t xml:space="preserve">Lifestyle perception</t>
  </si>
  <si>
    <t xml:space="preserve">rows 1312–1428</t>
  </si>
  <si>
    <t xml:space="preserve">rows 1429–1481</t>
  </si>
  <si>
    <t xml:space="preserve">rows 1482–2284</t>
  </si>
  <si>
    <t xml:space="preserve">Purchase</t>
  </si>
  <si>
    <t xml:space="preserve">rows 2204–2380</t>
  </si>
  <si>
    <t xml:space="preserve">Consumption journey</t>
  </si>
  <si>
    <t xml:space="preserve">rows 2381–2640</t>
  </si>
  <si>
    <t xml:space="preserve">Selection between brands</t>
  </si>
  <si>
    <t xml:space="preserve">rows 2641–2677</t>
  </si>
  <si>
    <t xml:space="preserve">Aspiration</t>
  </si>
  <si>
    <t xml:space="preserve">rows 2678–2728</t>
  </si>
  <si>
    <t xml:space="preserve">Rejections</t>
  </si>
  <si>
    <t xml:space="preserve">rows 2729–2759</t>
  </si>
  <si>
    <t xml:space="preserve">Uniqueness</t>
  </si>
  <si>
    <t xml:space="preserve">rows 2760–2848</t>
  </si>
  <si>
    <t xml:space="preserve">Strength-weakness</t>
  </si>
  <si>
    <t xml:space="preserve">rows 2849–3289</t>
  </si>
  <si>
    <t xml:space="preserve">Information</t>
  </si>
  <si>
    <t xml:space="preserve">rows 3290–3317</t>
  </si>
  <si>
    <t xml:space="preserve">Promotions</t>
  </si>
  <si>
    <t xml:space="preserve">rows 3318–3428</t>
  </si>
  <si>
    <t xml:space="preserve">Purchase intension</t>
  </si>
  <si>
    <t xml:space="preserve">rows 3429–3537</t>
  </si>
  <si>
    <t xml:space="preserve">rows 3538–3619</t>
  </si>
  <si>
    <t xml:space="preserve">rows 2–183</t>
  </si>
  <si>
    <t xml:space="preserve">Checked_RM5_EGD_Renshe_BD00239_25.9.2026_10.30am_Rajshahi Metro_Male_D.E_19-24yrs_Derby User_Explorer_Subroto_LK.xlsx</t>
  </si>
  <si>
    <t xml:space="preserve">Phychography</t>
  </si>
  <si>
    <t xml:space="preserve">rows 184–371</t>
  </si>
  <si>
    <t xml:space="preserve">Touch point</t>
  </si>
  <si>
    <t xml:space="preserve">rows 372–436</t>
  </si>
  <si>
    <t xml:space="preserve">rows 437–628</t>
  </si>
  <si>
    <t xml:space="preserve">Challenges</t>
  </si>
  <si>
    <t xml:space="preserve">rows 629–658</t>
  </si>
  <si>
    <t xml:space="preserve">rows 659–715</t>
  </si>
  <si>
    <t xml:space="preserve">rows 716–749</t>
  </si>
  <si>
    <t xml:space="preserve">Media behaviour</t>
  </si>
  <si>
    <t xml:space="preserve">rows 750–921</t>
  </si>
  <si>
    <t xml:space="preserve">Aspirations</t>
  </si>
  <si>
    <t xml:space="preserve">rows 922–1125</t>
  </si>
  <si>
    <t xml:space="preserve">rows 1126–1151</t>
  </si>
  <si>
    <t xml:space="preserve">Category Understanding</t>
  </si>
  <si>
    <t xml:space="preserve">rows 1152–1965</t>
  </si>
  <si>
    <t xml:space="preserve">Smoker persona</t>
  </si>
  <si>
    <t xml:space="preserve">rows 1302–1496</t>
  </si>
  <si>
    <t xml:space="preserve">Spending</t>
  </si>
  <si>
    <t xml:space="preserve">rows 1966–2009</t>
  </si>
  <si>
    <t xml:space="preserve">Brand Journey</t>
  </si>
  <si>
    <t xml:space="preserve">rows 2010–2334</t>
  </si>
  <si>
    <t xml:space="preserve">Aspirational brand</t>
  </si>
  <si>
    <t xml:space="preserve">rows 2335–2391</t>
  </si>
  <si>
    <t xml:space="preserve">rows 2392–2422</t>
  </si>
  <si>
    <t xml:space="preserve">Rejection</t>
  </si>
  <si>
    <t xml:space="preserve">rows 2423–2445</t>
  </si>
  <si>
    <t xml:space="preserve">rows 2446–2506</t>
  </si>
  <si>
    <t xml:space="preserve">rows 2507–2630</t>
  </si>
  <si>
    <t xml:space="preserve">rows 2631–2725</t>
  </si>
  <si>
    <t xml:space="preserve">Celebrity</t>
  </si>
  <si>
    <t xml:space="preserve">rows 2726–2744</t>
  </si>
  <si>
    <t xml:space="preserve">Strength-Weakness</t>
  </si>
  <si>
    <t xml:space="preserve">rows 2745–2775</t>
  </si>
  <si>
    <t xml:space="preserve">Name</t>
  </si>
  <si>
    <t xml:space="preserve">rows 2776–2808</t>
  </si>
  <si>
    <t xml:space="preserve">rows 2809–2964</t>
  </si>
  <si>
    <t xml:space="preserve">Stick</t>
  </si>
  <si>
    <t xml:space="preserve">rows 2965–3021</t>
  </si>
  <si>
    <t xml:space="preserve">Price</t>
  </si>
  <si>
    <t xml:space="preserve">rows 3022–3200</t>
  </si>
  <si>
    <t xml:space="preserve">Awareness</t>
  </si>
  <si>
    <t xml:space="preserve">rows 3201–3231</t>
  </si>
  <si>
    <t xml:space="preserve">Campaign</t>
  </si>
  <si>
    <t xml:space="preserve">rows 3232–3276</t>
  </si>
  <si>
    <t xml:space="preserve">Trying intension</t>
  </si>
  <si>
    <t xml:space="preserve">rows 3277–3448</t>
  </si>
  <si>
    <t xml:space="preserve">Best quality</t>
  </si>
  <si>
    <t xml:space="preserve">rows 3449–3527</t>
  </si>
  <si>
    <t xml:space="preserve">Introduction and life context</t>
  </si>
  <si>
    <t xml:space="preserve">paragraphs 0–360</t>
  </si>
  <si>
    <t xml:space="preserve">n.a.</t>
  </si>
  <si>
    <t xml:space="preserve">RM2_EGD_Renshe_BD00239_24.9.2026_11.00am_Rajshahi Metro_Male_D.E_25-29yrs_Derby User_Image seeker_Subroto.mp3 (244.03 MB).docx</t>
  </si>
  <si>
    <t xml:space="preserve">Dreams, success and challenges</t>
  </si>
  <si>
    <t xml:space="preserve">paragraphs 361–660</t>
  </si>
  <si>
    <t xml:space="preserve">Entertainment, media and shopping</t>
  </si>
  <si>
    <t xml:space="preserve">paragraphs 661–922</t>
  </si>
  <si>
    <t xml:space="preserve">Brand meaning and status</t>
  </si>
  <si>
    <t xml:space="preserve">paragraphs 923–1016</t>
  </si>
  <si>
    <t xml:space="preserve">Category associations and smoker meanings</t>
  </si>
  <si>
    <t xml:space="preserve">paragraphs 1017–1269</t>
  </si>
  <si>
    <t xml:space="preserve">Consumption moments, routines and needs</t>
  </si>
  <si>
    <t xml:space="preserve">paragraphs 1270–1450</t>
  </si>
  <si>
    <t xml:space="preserve">Purchase pattern and Derby journey</t>
  </si>
  <si>
    <t xml:space="preserve">paragraphs 1451–1680</t>
  </si>
  <si>
    <t xml:space="preserve">Occasional brands, aspiration and social use</t>
  </si>
  <si>
    <t xml:space="preserve">paragraphs 1681–1801</t>
  </si>
  <si>
    <t xml:space="preserve">Product improvement, fallback and rejection</t>
  </si>
  <si>
    <t xml:space="preserve">paragraphs 1802–2006</t>
  </si>
  <si>
    <t xml:space="preserve">Derby image, persona, name, pack and stick</t>
  </si>
  <si>
    <t xml:space="preserve">paragraphs 2007–2333</t>
  </si>
  <si>
    <t xml:space="preserve">Price, product experience and ratings</t>
  </si>
  <si>
    <t xml:space="preserve">paragraphs 2334–2428</t>
  </si>
  <si>
    <t xml:space="preserve">Awareness, promotion, trial and best quality</t>
  </si>
  <si>
    <t xml:space="preserve">paragraphs 2429–2634</t>
  </si>
  <si>
    <t xml:space="preserve">EGD evidence log</t>
  </si>
  <si>
    <t xml:space="preserve">Participant evidence across the full EGD scope. Moderator questions are not treated as findings.</t>
  </si>
  <si>
    <t xml:space="preserve">Speaker</t>
  </si>
  <si>
    <t xml:space="preserve">Source row or paragraph</t>
  </si>
  <si>
    <t xml:space="preserve">Participant verbatim (Bangla)</t>
  </si>
  <si>
    <t xml:space="preserve">Concise English translation</t>
  </si>
  <si>
    <t xml:space="preserve">Analytic meaning</t>
  </si>
  <si>
    <t xml:space="preserve">Daily life</t>
  </si>
  <si>
    <t xml:space="preserve">A</t>
  </si>
  <si>
    <t xml:space="preserve">row 203</t>
  </si>
  <si>
    <t xml:space="preserve">কলেজে যাই… ক্লাস… বন্ধুবান্ধবের সাথে আড্ডা… লাইব্রেরিতে গিয়ে কিছু সময়।</t>
  </si>
  <si>
    <t xml:space="preserve">College, classes, friends and library time organize the day.</t>
  </si>
  <si>
    <t xml:space="preserve">Study and peer interaction are the main everyday context.</t>
  </si>
  <si>
    <t xml:space="preserve">Dreams and duty</t>
  </si>
  <si>
    <t xml:space="preserve">B/C</t>
  </si>
  <si>
    <t xml:space="preserve">rows 490–491</t>
  </si>
  <si>
    <t xml:space="preserve">মাকে… চাওয়া মাত্রই দিতে পারবো… বাবা-মা বিনা টেনশনে থাকবে।</t>
  </si>
  <si>
    <t xml:space="preserve">Success means being able to provide immediately and remove parents' financial worry.</t>
  </si>
  <si>
    <t xml:space="preserve">Upward mobility is measured through family security.</t>
  </si>
  <si>
    <t xml:space="preserve">Media and inspiration</t>
  </si>
  <si>
    <t xml:space="preserve">C</t>
  </si>
  <si>
    <t xml:space="preserve">row 786</t>
  </si>
  <si>
    <t xml:space="preserve">ফ্যাশনের কন্টেন্ট… যেটা ভালো লাগে… বাজারে গেলে নিজের মতো করে নিই।</t>
  </si>
  <si>
    <t xml:space="preserve">Fashion content supplies pieces of inspiration that are recombined personally.</t>
  </si>
  <si>
    <t xml:space="preserve">Digital content influences style without creating simple imitation.</t>
  </si>
  <si>
    <t xml:space="preserve">Shopping/value</t>
  </si>
  <si>
    <t xml:space="preserve">F/B</t>
  </si>
  <si>
    <t xml:space="preserve">rows 676, 691</t>
  </si>
  <si>
    <t xml:space="preserve">ডিসকাউন্ট… ১০০০ টাকার জিনিস ৪০০–৫০০… অনলাইনের উপর বিশ্বাস উঠে গেছে।</t>
  </si>
  <si>
    <t xml:space="preserve">Discounts attract, while a poor online purchase damaged trust.</t>
  </si>
  <si>
    <t xml:space="preserve">Value and trust jointly shape purchase.</t>
  </si>
  <si>
    <t xml:space="preserve">Personal budget</t>
  </si>
  <si>
    <t xml:space="preserve">E</t>
  </si>
  <si>
    <t xml:space="preserve">rows 2409–2427</t>
  </si>
  <si>
    <t xml:space="preserve">মাসে ৩০০০–৪০০০… একদিকে কম খরচ করলে অন্য প্রয়োজন মিলে যায়।</t>
  </si>
  <si>
    <t xml:space="preserve">A limited monthly allowance is reallocated between needs.</t>
  </si>
  <si>
    <t xml:space="preserve">Daily consumption competes inside a fixed personal budget.</t>
  </si>
  <si>
    <t xml:space="preserve">Work context</t>
  </si>
  <si>
    <t xml:space="preserve">F</t>
  </si>
  <si>
    <t xml:space="preserve">row 168</t>
  </si>
  <si>
    <t xml:space="preserve">লাইব্রেরিতে লাইব্রেরিয়ান… স্টুডেন্টরা জব প্রিপারেশন নেয়।</t>
  </si>
  <si>
    <t xml:space="preserve">Works as a librarian where graduates prepare for jobs.</t>
  </si>
  <si>
    <t xml:space="preserve">Employment aspiration is close to daily experience.</t>
  </si>
  <si>
    <t xml:space="preserve">A/F</t>
  </si>
  <si>
    <t xml:space="preserve">rows 424, 450</t>
  </si>
  <si>
    <t xml:space="preserve">আর্নিং সোর্স বাড়াবো… বাংলাদেশ ব্যাংকের এডি… সমাজের চোখে সম্মান।</t>
  </si>
  <si>
    <t xml:space="preserve">Increase income sources and reach a respected professional role.</t>
  </si>
  <si>
    <t xml:space="preserve">Income and recognition are linked aspirations.</t>
  </si>
  <si>
    <t xml:space="preserve">Brand meaning</t>
  </si>
  <si>
    <t xml:space="preserve">G/B</t>
  </si>
  <si>
    <t xml:space="preserve">rows 1360–1369</t>
  </si>
  <si>
    <t xml:space="preserve">ব্র্যান্ড ভ্যালু… মানুষ ভাবে ছেলেটার জিনিস… ভালো লাগে।</t>
  </si>
  <si>
    <t xml:space="preserve">Recognized brands can make others view the user differently.</t>
  </si>
  <si>
    <t xml:space="preserve">Status is a real component of brand choice.</t>
  </si>
  <si>
    <t xml:space="preserve">Accessible value</t>
  </si>
  <si>
    <t xml:space="preserve">row 1179</t>
  </si>
  <si>
    <t xml:space="preserve">প্রাইস রেঞ্জ হাই না… মিডিয়াম… সবার কাছে বেয়ার করা যায়।</t>
  </si>
  <si>
    <t xml:space="preserve">A medium price that many can bear is viewed positively.</t>
  </si>
  <si>
    <t xml:space="preserve">Accessibility is valued beyond the cigarette category.</t>
  </si>
  <si>
    <t xml:space="preserve">Smoking moment</t>
  </si>
  <si>
    <t xml:space="preserve">row 2281</t>
  </si>
  <si>
    <t xml:space="preserve">রাতে… রিল্যাক্স… দিনে… কাজের প্রেসার কমানোর কারণে।</t>
  </si>
  <si>
    <t xml:space="preserve">Night smoking is for relaxation; daytime smoking reduces work pressure.</t>
  </si>
  <si>
    <t xml:space="preserve">Consumption serves different functional-emotional roles by moment.</t>
  </si>
  <si>
    <t xml:space="preserve">Consumption planning</t>
  </si>
  <si>
    <t xml:space="preserve">row 2152</t>
  </si>
  <si>
    <t xml:space="preserve">সিগারেট খাওয়ার জন্য… নির্দিষ্ট সময়… বের করতে হবে।</t>
  </si>
  <si>
    <t xml:space="preserve">Time is deliberately made for a cigarette break.</t>
  </si>
  <si>
    <t xml:space="preserve">Smoking is scheduled into the workday.</t>
  </si>
  <si>
    <t xml:space="preserve">Student routine</t>
  </si>
  <si>
    <t xml:space="preserve">rows 233–247</t>
  </si>
  <si>
    <t xml:space="preserve">ক্লাসের গ্যাপে চা আর বিড়ি… বন্ধুদের সাথে আড্ডা… কার্ড খেলি।</t>
  </si>
  <si>
    <t xml:space="preserve">Tea, cigarettes, friends and cards repeat through the student day.</t>
  </si>
  <si>
    <t xml:space="preserve">Smoking is integrated into campus and social routine.</t>
  </si>
  <si>
    <t xml:space="preserve">Family and work</t>
  </si>
  <si>
    <t xml:space="preserve">row 540</t>
  </si>
  <si>
    <t xml:space="preserve">বাবা-মা কষ্ট করে চালায়… রেজাল্ট ভালো… চাকরি হয়।</t>
  </si>
  <si>
    <t xml:space="preserve">Parental sacrifice motivates study and job achievement.</t>
  </si>
  <si>
    <t xml:space="preserve">Family duty anchors aspiration.</t>
  </si>
  <si>
    <t xml:space="preserve">Success/status</t>
  </si>
  <si>
    <t xml:space="preserve">G</t>
  </si>
  <si>
    <t xml:space="preserve">row 626</t>
  </si>
  <si>
    <t xml:space="preserve">সোশ্যাল স্ট্যাটাস আপ… প্রয়োজনীয় পণ্য কিনতে টাকার কথা ভাবতে হবে না।</t>
  </si>
  <si>
    <t xml:space="preserve">Progress means higher social status and buying necessities without price worry.</t>
  </si>
  <si>
    <t xml:space="preserve">Economic freedom and social advancement are paired.</t>
  </si>
  <si>
    <t xml:space="preserve">B/A</t>
  </si>
  <si>
    <t xml:space="preserve">rows 643, 651</t>
  </si>
  <si>
    <t xml:space="preserve">চাকরির প্রতিদ্বন্দ্বিতা বাড়ছে… বাবা-মা বলে কিছু একটা কর।</t>
  </si>
  <si>
    <t xml:space="preserve">Job competition and family pressure create anxiety.</t>
  </si>
  <si>
    <t xml:space="preserve">Financial uncertainty intensifies value sensitivity.</t>
  </si>
  <si>
    <t xml:space="preserve">rows 720, 737</t>
  </si>
  <si>
    <t xml:space="preserve">নেসেসারি হলে কিনি… ব্র্যান্ডে কখনো যাওয়া হয় নাই।</t>
  </si>
  <si>
    <t xml:space="preserve">Purchases are need-led; branded stores may not be part of experience.</t>
  </si>
  <si>
    <t xml:space="preserve">Practical access matters more than formal retail prestige.</t>
  </si>
  <si>
    <t xml:space="preserve">Spending priority</t>
  </si>
  <si>
    <t xml:space="preserve">D</t>
  </si>
  <si>
    <t xml:space="preserve">rows 2004–2007</t>
  </si>
  <si>
    <t xml:space="preserve">ক্যাম্পাসের এক্সট্রা খরচ কমে… সিগারেট কমে না।</t>
  </si>
  <si>
    <t xml:space="preserve">Other campus spending falls, but cigarette consumption does not.</t>
  </si>
  <si>
    <t xml:space="preserve">Cigarette spend is protected within a constrained budget.</t>
  </si>
  <si>
    <t xml:space="preserve">Social cost</t>
  </si>
  <si>
    <t xml:space="preserve">row 1225</t>
  </si>
  <si>
    <t xml:space="preserve">মুখ থেকে গন্ধ… ভালো লাগতেছে না… দূরে গিয়ে স্মোক।</t>
  </si>
  <si>
    <t xml:space="preserve">Non-smokers object to odor, forcing distance or masking.</t>
  </si>
  <si>
    <t xml:space="preserve">Odor reduces social acceptability.</t>
  </si>
  <si>
    <t xml:space="preserve">Strength need</t>
  </si>
  <si>
    <t xml:space="preserve">row 1416</t>
  </si>
  <si>
    <t xml:space="preserve">লাইট সিগারেট… কাজ করলো না… কড়া সিগারেট হলে মনে হয় নিকোটিন আছে।</t>
  </si>
  <si>
    <t xml:space="preserve">Light cigarettes feel ineffective; strong cigarettes feel functional.</t>
  </si>
  <si>
    <t xml:space="preserve">Strong delivery is a category-level need.</t>
  </si>
  <si>
    <t xml:space="preserve">Brand and status</t>
  </si>
  <si>
    <t xml:space="preserve">paragraphs 923–970</t>
  </si>
  <si>
    <t xml:space="preserve">ব্র্যান্ড… আমাকে অন্যভাবে দেখবে… নিজের স্ট্যাটাস বাড়ে।</t>
  </si>
  <si>
    <t xml:space="preserve">Brands are expected to change how others see the user and raise status.</t>
  </si>
  <si>
    <t xml:space="preserve">Image-seeking aspiration sits behind product symbolism.</t>
  </si>
  <si>
    <t xml:space="preserve">Routine</t>
  </si>
  <si>
    <t xml:space="preserve">paragraphs 1305–1311</t>
  </si>
  <si>
    <t xml:space="preserve">ঘুমাতে যাওয়ার আগে এবং ঘুম থেকে উঠার পর… না খেলে মিসিং লাগে।</t>
  </si>
  <si>
    <t xml:space="preserve">The cigarette before sleep and after waking feels essential.</t>
  </si>
  <si>
    <t xml:space="preserve">Smoking brackets the day as a ritual.</t>
  </si>
  <si>
    <t xml:space="preserve">Work and stress</t>
  </si>
  <si>
    <t xml:space="preserve">paragraphs 1353–1388</t>
  </si>
  <si>
    <t xml:space="preserve">কাজে মনোযোগ… চার্জ চলে আসে… ডিসিশন নিতে পারি।</t>
  </si>
  <si>
    <t xml:space="preserve">Smoking is described as improving focus, restoring energy and aiding decisions.</t>
  </si>
  <si>
    <t xml:space="preserve">Participants attach performance and coping benefits to the ritual.</t>
  </si>
  <si>
    <t xml:space="preserve">Social role</t>
  </si>
  <si>
    <t xml:space="preserve">paragraphs 1395–1397</t>
  </si>
  <si>
    <t xml:space="preserve">স্মোকিং ছাড়া আড্ডা জমে না… আড্ডার মেইন অংশ।</t>
  </si>
  <si>
    <t xml:space="preserve">Adda does not feel complete without smoking.</t>
  </si>
  <si>
    <t xml:space="preserve">Cigarettes function as social infrastructure.</t>
  </si>
  <si>
    <t xml:space="preserve">Emotional role</t>
  </si>
  <si>
    <t xml:space="preserve">paragraph 1410</t>
  </si>
  <si>
    <t xml:space="preserve">মানসিক শান্তি দেয়… না থাকলে বিরক্ত এবং একা লাগে।</t>
  </si>
  <si>
    <t xml:space="preserve">It provides mental calm; absence creates irritation and loneliness.</t>
  </si>
  <si>
    <t xml:space="preserve">Habit combines emotional comfort and companionship.</t>
  </si>
  <si>
    <t xml:space="preserve">Brand image</t>
  </si>
  <si>
    <t xml:space="preserve">paragraphs 2083–2090</t>
  </si>
  <si>
    <t xml:space="preserve">নিম্নবিত্ত… মিডেল ক্লাসে বেশি খায়… জনপ্রিয়তা বেশি।</t>
  </si>
  <si>
    <t xml:space="preserve">Derby carries lower-/middle-class imagery but very high popularity.</t>
  </si>
  <si>
    <t xml:space="preserve">Reach and familiarity coexist with a status ceiling.</t>
  </si>
  <si>
    <t xml:space="preserve">Marketing credibility</t>
  </si>
  <si>
    <t xml:space="preserve">paragraphs 2469–2472</t>
  </si>
  <si>
    <t xml:space="preserve">প্রোডাক্ট ভালো হলে বাজারে চলবে… ডার্বি ছাড়া তৃপ্তি আসে না।</t>
  </si>
  <si>
    <t xml:space="preserve">Participants say product quality, not activity alone, explains market strength.</t>
  </si>
  <si>
    <t xml:space="preserve">Communication must be backed by recognizable product delivery.</t>
  </si>
  <si>
    <t xml:space="preserve">Trust and influence</t>
  </si>
  <si>
    <t xml:space="preserve">paragraphs 2595–2630</t>
  </si>
  <si>
    <t xml:space="preserve">অথেন্টিক বোঝা যায়… ইনফ্লুয়েন্সার দরকার… শাকিব খান/কাবিলা।</t>
  </si>
  <si>
    <t xml:space="preserve">Certification signals authenticity; familiar entertainers are suggested as endorsers.</t>
  </si>
  <si>
    <t xml:space="preserve">Trust and cultural familiarity can support communication.</t>
  </si>
  <si>
    <t xml:space="preserve">Entry/value</t>
  </si>
  <si>
    <t xml:space="preserve">2555–2557</t>
  </si>
  <si>
    <t xml:space="preserve">ডার্বিটা খাইলে… বুকে অতটা চাপ পড়ে না…</t>
  </si>
  <si>
    <t xml:space="preserve">With Derby, the chest does not feel as much pressure.</t>
  </si>
  <si>
    <t xml:space="preserve">Star-to-Derby movement can be driven by easier physical delivery.</t>
  </si>
  <si>
    <t xml:space="preserve">2580</t>
  </si>
  <si>
    <t xml:space="preserve">লাকির দাম… বাড়তে বাড়তে… ডার্বি পাঁচ টাকা… বাজেটের মধ্যে।</t>
  </si>
  <si>
    <t xml:space="preserve">Lucky's price kept rising; Derby at five taka fitted the budget.</t>
  </si>
  <si>
    <t xml:space="preserve">Price inflation creates down-trade entry, but acceptable product delivery is still required.</t>
  </si>
  <si>
    <t xml:space="preserve">Price/value</t>
  </si>
  <si>
    <t xml:space="preserve">2645</t>
  </si>
  <si>
    <t xml:space="preserve">৫০ টাকা দিয়ে… ডার্বি… ছয়টা… টাকা বাঁচানো।</t>
  </si>
  <si>
    <t xml:space="preserve">For fifty taka, Derby gives about six sticks—saving money.</t>
  </si>
  <si>
    <t xml:space="preserve">Visible stick-count value is part of Derby's economic appeal.</t>
  </si>
  <si>
    <t xml:space="preserve">Weakness</t>
  </si>
  <si>
    <t xml:space="preserve">D/F</t>
  </si>
  <si>
    <t xml:space="preserve">2654–2662</t>
  </si>
  <si>
    <t xml:space="preserve">তাড়াতাড়ি পুড়ে যায়… ফিল্টার গরম/নরম হয়ে যায়… ঠোঁট কালো।</t>
  </si>
  <si>
    <t xml:space="preserve">It burns quickly; the filter becomes hot/soft; there is a lip-darkening concern.</t>
  </si>
  <si>
    <t xml:space="preserve">Burn and filter execution are actionable product weaknesses.</t>
  </si>
  <si>
    <t xml:space="preserve">Core equity</t>
  </si>
  <si>
    <t xml:space="preserve">2809–2813</t>
  </si>
  <si>
    <t xml:space="preserve">একদম খুব কড়াও না… নরমালও না… মিড পজিশনে।</t>
  </si>
  <si>
    <t xml:space="preserve">Neither very harsh nor light; it sits in the middle.</t>
  </si>
  <si>
    <t xml:space="preserve">Derby's preferred strength is a balanced middle—not 'light'.</t>
  </si>
  <si>
    <t xml:space="preserve">Choice criteria</t>
  </si>
  <si>
    <t xml:space="preserve">2820–2828</t>
  </si>
  <si>
    <t xml:space="preserve">দাম, কড়া, গন্ধ, ফিল্টার, প্যাকেট।</t>
  </si>
  <si>
    <t xml:space="preserve">Price, strength, odor, filter and pack.</t>
  </si>
  <si>
    <t xml:space="preserve">The group uses a multi-cue preference hierarchy led by value and sensory delivery.</t>
  </si>
  <si>
    <t xml:space="preserve">Price risk</t>
  </si>
  <si>
    <t xml:space="preserve">3035–3050</t>
  </si>
  <si>
    <t xml:space="preserve">ডার্বি ১০ টাকা হলে… কম দামের রয়্যালস…</t>
  </si>
  <si>
    <t xml:space="preserve">If Derby becomes ten taka, a cheaper Royals becomes relevant.</t>
  </si>
  <si>
    <t xml:space="preserve">A large isolated price rise can break habit and prompt down-trade.</t>
  </si>
  <si>
    <t xml:space="preserve">Activation</t>
  </si>
  <si>
    <t xml:space="preserve">3097–3111</t>
  </si>
  <si>
    <t xml:space="preserve">ডার্বির মার্কেটিং দেখি না… দোকানদার ট্রাই করালে…</t>
  </si>
  <si>
    <t xml:space="preserve">Derby marketing is not noticed; retailer-enabled trial can work.</t>
  </si>
  <si>
    <t xml:space="preserve">Retail presence and guided trial can close the communication gap.</t>
  </si>
  <si>
    <t xml:space="preserve">B</t>
  </si>
  <si>
    <t xml:space="preserve">2534</t>
  </si>
  <si>
    <t xml:space="preserve">রয়্যালসের চেয়ে ডার্বিতে তৃপ্তি বেশি, দামের মধ্যেও।</t>
  </si>
  <si>
    <t xml:space="preserve">Derby gives more satisfaction than Royals while remaining within price.</t>
  </si>
  <si>
    <t xml:space="preserve">Derby is not chosen on price alone; satisfaction justifies the spend.</t>
  </si>
  <si>
    <t xml:space="preserve">2536–2541</t>
  </si>
  <si>
    <t xml:space="preserve">ডার্বি… কড়ার জন্য… দামের জন্য।</t>
  </si>
  <si>
    <t xml:space="preserve">Derby is chosen for its strength and price.</t>
  </si>
  <si>
    <t xml:space="preserve">Strength-price fit is the central proposition.</t>
  </si>
  <si>
    <t xml:space="preserve">B/D</t>
  </si>
  <si>
    <t xml:space="preserve">2555–2568</t>
  </si>
  <si>
    <t xml:space="preserve">শেষে ফিল্টার গরম ও নরম হয়… গন্ধ কমানো দরকার; কড়া ও দাম ঠিক।</t>
  </si>
  <si>
    <t xml:space="preserve">The filter gets hot/soft near the end; odor should reduce, while strength and price are right.</t>
  </si>
  <si>
    <t xml:space="preserve">Fix execution without disturbing core equity.</t>
  </si>
  <si>
    <t xml:space="preserve">Habit</t>
  </si>
  <si>
    <t xml:space="preserve">2625–2629</t>
  </si>
  <si>
    <t xml:space="preserve">অন্য সিগারেট খেলে গলায় সমস্যা হয়… ডার্বিতে অভ্যাস।</t>
  </si>
  <si>
    <t xml:space="preserve">Other cigarettes cause throat discomfort; Derby has become habitual.</t>
  </si>
  <si>
    <t xml:space="preserve">Habit is partly a learned physical fit.</t>
  </si>
  <si>
    <t xml:space="preserve">Price parity</t>
  </si>
  <si>
    <t xml:space="preserve">D/C</t>
  </si>
  <si>
    <t xml:space="preserve">2649–2662</t>
  </si>
  <si>
    <t xml:space="preserve">সব একই দাম হলে… গোল্ড লিফ/বেনসন/মার্লবোরো…</t>
  </si>
  <si>
    <t xml:space="preserve">If all brands cost the same, premium alternatives become preferable.</t>
  </si>
  <si>
    <t xml:space="preserve">Current loyalty contains an economic component that disappears at parity.</t>
  </si>
  <si>
    <t xml:space="preserve">Social pathway</t>
  </si>
  <si>
    <t xml:space="preserve">2499–2501</t>
  </si>
  <si>
    <t xml:space="preserve">বন্ধুরা সবাই ডার্বি খেত… শেয়ার করতে করতে বদল।</t>
  </si>
  <si>
    <t xml:space="preserve">Friends all smoked Derby; sharing helped create the switch.</t>
  </si>
  <si>
    <t xml:space="preserve">Peer networks are a conversion channel.</t>
  </si>
  <si>
    <t xml:space="preserve">Value</t>
  </si>
  <si>
    <t xml:space="preserve">2092</t>
  </si>
  <si>
    <t xml:space="preserve">বাজেট অনুযায়ী সিগারেটের মধ্যে এটাই বেস্ট।</t>
  </si>
  <si>
    <t xml:space="preserve">Within the budget, this is the best cigarette.</t>
  </si>
  <si>
    <t xml:space="preserve">Derby is the value-performance benchmark for younger smokers.</t>
  </si>
  <si>
    <t xml:space="preserve">2166–2174</t>
  </si>
  <si>
    <t xml:space="preserve">কড়া সিগারেট… ধকটা পারফেক্ট।</t>
  </si>
  <si>
    <t xml:space="preserve">A strong cigarette; the kick is right.</t>
  </si>
  <si>
    <t xml:space="preserve">The core sensory promise is a strong, satisfying kick.</t>
  </si>
  <si>
    <t xml:space="preserve">Odor</t>
  </si>
  <si>
    <t xml:space="preserve">2173–2197</t>
  </si>
  <si>
    <t xml:space="preserve">গন্ধটা ঠিক করলে… ৯.৫/১০… অনেকক্ষণ থাকে।</t>
  </si>
  <si>
    <t xml:space="preserve">Fixing the odor would make it nearly 9.5/10; it lingers for a long time.</t>
  </si>
  <si>
    <t xml:space="preserve">Odor is the largest gap in an otherwise highly rated product.</t>
  </si>
  <si>
    <t xml:space="preserve">Status/occasion</t>
  </si>
  <si>
    <t xml:space="preserve">2307–2310</t>
  </si>
  <si>
    <t xml:space="preserve">ক্যাম্পাসে ডার্বি নিতে পারি না—গন্ধের জন্য।</t>
  </si>
  <si>
    <t xml:space="preserve">I cannot take Derby to campus because of the odor.</t>
  </si>
  <si>
    <t xml:space="preserve">Odor becomes a social-occasion barrier, not just a sensory complaint.</t>
  </si>
  <si>
    <t xml:space="preserve">Fallback</t>
  </si>
  <si>
    <t xml:space="preserve">D/C/E</t>
  </si>
  <si>
    <t xml:space="preserve">2406–2421</t>
  </si>
  <si>
    <t xml:space="preserve">ডার্বি না থাকলে স্টার… রয়্যালস হালকা, ফিল্টার দুর্বল।</t>
  </si>
  <si>
    <t xml:space="preserve">If Derby is unavailable, Star; Royals is too light and its filter is weak.</t>
  </si>
  <si>
    <t xml:space="preserve">Star is the closest strong-value fallback in this group.</t>
  </si>
  <si>
    <t xml:space="preserve">Conversion</t>
  </si>
  <si>
    <t xml:space="preserve">3369–3376</t>
  </si>
  <si>
    <t xml:space="preserve">ডার্বির কোয়ালিটি, কিন্তু গন্ধ থাকবে না—তাহলে স্থায়ীভাবে শিফট।</t>
  </si>
  <si>
    <t xml:space="preserve">Derby quality without the odor could win a permanent switch.</t>
  </si>
  <si>
    <t xml:space="preserve">The clearest challenger proposition is familiar satisfaction minus odor.</t>
  </si>
  <si>
    <t xml:space="preserve">Pack vs product</t>
  </si>
  <si>
    <t xml:space="preserve">3417</t>
  </si>
  <si>
    <t xml:space="preserve">প্যাকেটটা কম ম্যাটার করে, কোয়ালিটিটা বেশি ম্যাটার করে।</t>
  </si>
  <si>
    <t xml:space="preserve">The pack matters less; quality matters more.</t>
  </si>
  <si>
    <t xml:space="preserve">Packaging can prompt trial but cannot substitute for product performance.</t>
  </si>
  <si>
    <t xml:space="preserve">1569–1576</t>
  </si>
  <si>
    <t xml:space="preserve">ডার্বির দাম… সাশ্রয়ী… খুবই কড়া… দামও কম আবার কড়া।</t>
  </si>
  <si>
    <t xml:space="preserve">Derby is affordable and very strong—low price with strength.</t>
  </si>
  <si>
    <t xml:space="preserve">Value and strength jointly explain entry.</t>
  </si>
  <si>
    <t xml:space="preserve">Peer pathway</t>
  </si>
  <si>
    <t xml:space="preserve">1585–1601</t>
  </si>
  <si>
    <t xml:space="preserve">এইভাবেই শুরু হয়… বন্ধুত্বের সাথে… বন্ধুরা যে ব্র্যান্ড খাইতো।</t>
  </si>
  <si>
    <t xml:space="preserve">It starts through friendship and the brand friends were smoking.</t>
  </si>
  <si>
    <t xml:space="preserve">Social learning precedes habit.</t>
  </si>
  <si>
    <t xml:space="preserve">Value segment</t>
  </si>
  <si>
    <t xml:space="preserve">1591</t>
  </si>
  <si>
    <t xml:space="preserve">যাদের টাকা কম… বা সিগারেট বেশি লাগে, তারা ডার্বি খাইত।</t>
  </si>
  <si>
    <t xml:space="preserve">People with less money, or heavier consumption, chose Derby.</t>
  </si>
  <si>
    <t xml:space="preserve">Frequency of consumption amplifies value sensitivity.</t>
  </si>
  <si>
    <t xml:space="preserve">1617–1621</t>
  </si>
  <si>
    <t xml:space="preserve">ধোঁয়া বেশি… চাহিদা পূরণ… খেতে খেতে অভ্যাস।</t>
  </si>
  <si>
    <t xml:space="preserve">More smoke meets the need, and repeated use becomes habit.</t>
  </si>
  <si>
    <t xml:space="preserve">Smoke volume and routine reinforce stickiness.</t>
  </si>
  <si>
    <t xml:space="preserve">1631–1644</t>
  </si>
  <si>
    <t xml:space="preserve">৯/১০—গন্ধ একটু বেশি… গন্ধটা একটু কমালে।</t>
  </si>
  <si>
    <t xml:space="preserve">Nine out of ten—the odor is a little high; reduce it.</t>
  </si>
  <si>
    <t xml:space="preserve">Odor is the main reason the product misses a perfect score.</t>
  </si>
  <si>
    <t xml:space="preserve">1668–1674</t>
  </si>
  <si>
    <t xml:space="preserve">ডার্বিকে গরিবের বেনসন বলা হয়… বাজেট ফ্রেন্ডলি।</t>
  </si>
  <si>
    <t xml:space="preserve">Derby is called the poor man's Benson—budget friendly.</t>
  </si>
  <si>
    <t xml:space="preserve">Strong value equity coexists with a low-status label.</t>
  </si>
  <si>
    <t xml:space="preserve">1731</t>
  </si>
  <si>
    <t xml:space="preserve">বড় ভাই… গোল্ড লিফ/বেনসন খাইলে… ডার্বি কেমন লাগে সামনে।</t>
  </si>
  <si>
    <t xml:space="preserve">In front of senior people who smoke Gold Leaf/Benson, Derby can feel awkward.</t>
  </si>
  <si>
    <t xml:space="preserve">Visible occasions can trigger trade-up.</t>
  </si>
  <si>
    <t xml:space="preserve">1804–1817</t>
  </si>
  <si>
    <t xml:space="preserve">ফিল্টারটা আরেকটু ভালো… শেষে নরম… গন্ধটা কম।</t>
  </si>
  <si>
    <t xml:space="preserve">Improve the filter; it softens at the end; reduce the odor.</t>
  </si>
  <si>
    <t xml:space="preserve">Filter-end integrity and odor are linked upgrade opportunities.</t>
  </si>
  <si>
    <t xml:space="preserve">1909–1916</t>
  </si>
  <si>
    <t xml:space="preserve">বেশি ধোঁয়া… বাজেট অনুযায়ী পারফেক্ট কড়া।</t>
  </si>
  <si>
    <t xml:space="preserve">More smoke; perfectly strong for the budget.</t>
  </si>
  <si>
    <t xml:space="preserve">Derby's distinctive equity is smoke/strength at the price.</t>
  </si>
  <si>
    <t xml:space="preserve">Availability</t>
  </si>
  <si>
    <t xml:space="preserve">1991–1992</t>
  </si>
  <si>
    <t xml:space="preserve">গ্রামে গেলেও এই সিগারেটটা পাবেন।</t>
  </si>
  <si>
    <t xml:space="preserve">You can find this cigarette even in villages.</t>
  </si>
  <si>
    <t xml:space="preserve">Distribution is a functional and symbolic brand strength.</t>
  </si>
  <si>
    <t xml:space="preserve">2338–2354</t>
  </si>
  <si>
    <t xml:space="preserve">এক টাকা ফ্যাক্ট না… ডার্বি ১০, স্টার ১০ হলে স্টার… রয়্যালস ৮ হলেও ডার্বি ৯-এ থাকবো।</t>
  </si>
  <si>
    <t xml:space="preserve">One taka is not decisive; at Derby 10/Star 10 choose Star, but Derby 9 can beat Royals 8.</t>
  </si>
  <si>
    <t xml:space="preserve">Moderate premium is supportable, but parity with a stronger-status rival is dangerous.</t>
  </si>
  <si>
    <t xml:space="preserve">Trial trigger</t>
  </si>
  <si>
    <t xml:space="preserve">2481–2505</t>
  </si>
  <si>
    <t xml:space="preserve">ফিল্টার ভালো, গন্ধ নেই… পোস্টার নয়, কেউ সাজেস্ট করলে।</t>
  </si>
  <si>
    <t xml:space="preserve">Better filter, no odor; recommendation works better than poster copy.</t>
  </si>
  <si>
    <t xml:space="preserve">Credible interpersonal proof reduces trial risk.</t>
  </si>
  <si>
    <t xml:space="preserve">2516–2526</t>
  </si>
  <si>
    <t xml:space="preserve">ডার্বির মতো ফিল… সেম প্রাইজে… ফিল্টার কোয়ালিটি ভালো… একটু বেশি ফিল।</t>
  </si>
  <si>
    <t xml:space="preserve">Derby-like feel at the same price, with a better filter and slightly stronger satisfaction.</t>
  </si>
  <si>
    <t xml:space="preserve">A challenger must preserve familiarity while clearly upgrading performance.</t>
  </si>
  <si>
    <t xml:space="preserve">PO comparison: Cigarette Brand Preference only</t>
  </si>
  <si>
    <t xml:space="preserve">Lifestyle, psychography, media and unrelated PO sections are excluded from this sheet and from PO conclusions.</t>
  </si>
  <si>
    <t xml:space="preserve">PO ID</t>
  </si>
  <si>
    <t xml:space="preserve">Profile</t>
  </si>
  <si>
    <t xml:space="preserve">Brand journey and entry</t>
  </si>
  <si>
    <t xml:space="preserve">Derby equity</t>
  </si>
  <si>
    <t xml:space="preserve">Price, fallback and trial</t>
  </si>
  <si>
    <t xml:space="preserve">How it supports the EGD conclusion</t>
  </si>
  <si>
    <t xml:space="preserve">PO scope used</t>
  </si>
  <si>
    <t xml:space="preserve">PO-D3</t>
  </si>
  <si>
    <t xml:space="preserve">Dhaka; Image Seeker Confident; age 30; SEC E</t>
  </si>
  <si>
    <t xml:space="preserve">Gold Leaf → Derby after price reached ৳12; Derby at ৳6 delivered acceptable Gold Leaf-like flavor.</t>
  </si>
  <si>
    <t xml:space="preserve">Balanced regular strength; no bitterness/cough; lower lingering odor.</t>
  </si>
  <si>
    <t xml:space="preserve">Strong price sensitivity; fallback Royals Regular/Red; would trial a matching regular product.</t>
  </si>
  <si>
    <t xml:space="preserve">Corroborates value-led down-trade and rejection of light/menthol profiles.</t>
  </si>
  <si>
    <t xml:space="preserve">Cigarette Brand Preference module only</t>
  </si>
  <si>
    <t xml:space="preserve">Checked_PO-D3_Renshe_BD00239_Image seeker confidents_Derby user_SEC-E_AGE-30 yrs_Dhaka metro (Uttar badda, GM bari, Vawliya para)_07.09.26_2.00 PM_Hafiz_LK.xlsx</t>
  </si>
  <si>
    <t xml:space="preserve">R5</t>
  </si>
  <si>
    <t xml:space="preserve">Rajshahi; age 20; SEC D</t>
  </si>
  <si>
    <t xml:space="preserve">Started regular smoking with Derby; popularity and trial converted to habit.</t>
  </si>
  <si>
    <t xml:space="preserve">Dense smoke, strong flavor, refreshing/energizing feel.</t>
  </si>
  <si>
    <t xml:space="preserve">At ৳10 may quit or consider Camel Blue; open to retailer-led trial.</t>
  </si>
  <si>
    <t xml:space="preserve">Corroborates smoke/strength, habit and price vulnerability.</t>
  </si>
  <si>
    <t xml:space="preserve">Checked_R5_PO_Renshe_BD00239_19.9.2026_11.00am_Rajshahi Metro_Male_D_20yrs_Derby User_Subroto_LK.xlsx</t>
  </si>
  <si>
    <t xml:space="preserve">R2-PO</t>
  </si>
  <si>
    <t xml:space="preserve">Rajshahi; age 26; SEC D</t>
  </si>
  <si>
    <t xml:space="preserve">Affordable round-number purchase, availability and personally suitable strength/odor.</t>
  </si>
  <si>
    <t xml:space="preserve">Balanced strong taste, reliable filter, thin paper and steady burn.</t>
  </si>
  <si>
    <t xml:space="preserve">Will absorb small rise; peer proof more important than pack; wants stable ash/burn.</t>
  </si>
  <si>
    <t xml:space="preserve">Corroborates distribution, execution quality and peer-led trial.</t>
  </si>
  <si>
    <t xml:space="preserve">R2_PO_Renshe_BD00239_22.9.2026_11.00am_Rajshahi Metro_Male_D_26yrs_Derby User_Subroto.xlsx</t>
  </si>
  <si>
    <t xml:space="preserve">PO-D06</t>
  </si>
  <si>
    <t xml:space="preserve">Dhaka; Explorer; age 30; SEC D</t>
  </si>
  <si>
    <t xml:space="preserve">Friends introduced Derby; lower price, longer duration and better filter sustained use.</t>
  </si>
  <si>
    <t xml:space="preserve">Slow burn, smoke volume, moderate-strong delivery and thick low-heat filter.</t>
  </si>
  <si>
    <t xml:space="preserve">Would stay to ৳10–12; Hollywood is main fallback; same-price trial only if product matches/beats Derby.</t>
  </si>
  <si>
    <t xml:space="preserve">Corroborates strength/value, social entry and high inertia when quality holds.</t>
  </si>
  <si>
    <t xml:space="preserve">PO_D06_Renshe_BD00388_Mind-Z Explorer_Derby User_Business_Age 30_SEC D_Dhaka Metro_15.09.2026_12.00_RS_Nazmul_196 min (1).docx</t>
  </si>
  <si>
    <t xml:space="preserve">Brand implications</t>
  </si>
  <si>
    <t xml:space="preserve">Actions integrate full-EGD context with the restricted PO brand-preference comparison.</t>
  </si>
  <si>
    <t xml:space="preserve">Business question</t>
  </si>
  <si>
    <t xml:space="preserve">Full EGD answer</t>
  </si>
  <si>
    <t xml:space="preserve">PO triangulation</t>
  </si>
  <si>
    <t xml:space="preserve">Risk if ignored</t>
  </si>
  <si>
    <t xml:space="preserve">What must Derby retain?</t>
  </si>
  <si>
    <t xml:space="preserve">Affordable strong regular satisfaction, smoke volume, familiarity and easy availability.</t>
  </si>
  <si>
    <t xml:space="preserve">All scoped PO cases reinforce value plus satisfactory delivery.</t>
  </si>
  <si>
    <t xml:space="preserve">Set non-negotiable sensory guardrails before reformulation.</t>
  </si>
  <si>
    <t xml:space="preserve">A lighter or less recognizable Derby could lose its core users.</t>
  </si>
  <si>
    <t xml:space="preserve">What should be fixed first?</t>
  </si>
  <si>
    <t xml:space="preserve">Odor, then filter-end integrity and burn/paper/ash consistency.</t>
  </si>
  <si>
    <t xml:space="preserve">POs also use filter, paper and burn as quality cues.</t>
  </si>
  <si>
    <t xml:space="preserve">Prototype and blind-test low-odor, stronger-filter executions.</t>
  </si>
  <si>
    <t xml:space="preserve">Social rejection and visible quality defects sustain trade-up.</t>
  </si>
  <si>
    <t xml:space="preserve">How strong is loyalty?</t>
  </si>
  <si>
    <t xml:space="preserve">Habit is strong, but price parity and visible occasions can unlock trade-up.</t>
  </si>
  <si>
    <t xml:space="preserve">PO price tolerance varies, confirming conditional loyalty.</t>
  </si>
  <si>
    <t xml:space="preserve">Model relative price gaps and test parity with Star/premium choices.</t>
  </si>
  <si>
    <t xml:space="preserve">A small architecture change may cause disproportionate switching.</t>
  </si>
  <si>
    <t xml:space="preserve">How should trial work?</t>
  </si>
  <si>
    <t xml:space="preserve">Peer/retailer proof, Derby-like feel, better filter and less odor.</t>
  </si>
  <si>
    <t xml:space="preserve">POs also prefer recommendation and one- or two-stick trial.</t>
  </si>
  <si>
    <t xml:space="preserve">Use guided sampling and repeat exposure, not awareness alone.</t>
  </si>
  <si>
    <t xml:space="preserve">Attractive pack without product superiority will not retain.</t>
  </si>
  <si>
    <t xml:space="preserve">How can status improve?</t>
  </si>
  <si>
    <t xml:space="preserve">Reduce odor and strengthen quality cues while remaining accessible.</t>
  </si>
  <si>
    <t xml:space="preserve">POs show pack cues help only when product fit is maintained.</t>
  </si>
  <si>
    <t xml:space="preserve">Lift social acceptability without over-premiumizing price or tone.</t>
  </si>
  <si>
    <t xml:space="preserve">Luxury cues alone could alienate the everyday core.</t>
  </si>
  <si>
    <t xml:space="preserve">Source audit and scope</t>
  </si>
  <si>
    <t xml:space="preserve">Text rows, characters and a SHA-256 of the extracted transcript text are recorded so later edits or replacement can be detected.</t>
  </si>
  <si>
    <t xml:space="preserve">Evidence tier</t>
  </si>
  <si>
    <t xml:space="preserve">Type</t>
  </si>
  <si>
    <t xml:space="preserve">Current filename</t>
  </si>
  <si>
    <t xml:space="preserve">Text rows</t>
  </si>
  <si>
    <t xml:space="preserve">Characters</t>
  </si>
  <si>
    <t xml:space="preserve">SHA-256 of extracted text</t>
  </si>
  <si>
    <t xml:space="preserve">Scope used</t>
  </si>
  <si>
    <t xml:space="preserve">Analytical role</t>
  </si>
  <si>
    <t xml:space="preserve">Primary</t>
  </si>
  <si>
    <t xml:space="preserve">EGD</t>
  </si>
  <si>
    <t xml:space="preserve">8C272326DB43BC9A3A8C73358D21C8A857C2E4E8F860802DEDE613D0F0C2C53F</t>
  </si>
  <si>
    <t xml:space="preserve">Complete transcript</t>
  </si>
  <si>
    <t xml:space="preserve">Full EGD synthesis and evidence</t>
  </si>
  <si>
    <t xml:space="preserve">284B70373D3598D762D0680AC493213CA72B512C14B1269FEF6E9A2AC4DB3463</t>
  </si>
  <si>
    <t xml:space="preserve">Supporting</t>
  </si>
  <si>
    <t xml:space="preserve">PO</t>
  </si>
  <si>
    <t xml:space="preserve">BBDFE15B0E422F3979DE321F1483920D97C7D84D5BAFEE606A2C9639ADB87524</t>
  </si>
  <si>
    <t xml:space="preserve">Cigarette Brand Preference section only</t>
  </si>
  <si>
    <t xml:space="preserve">PO triangulation only</t>
  </si>
  <si>
    <t xml:space="preserve">9D88C8CE3E3A00F46364559834E801F16D01B49C07E8B4029A4121F0450B30A6</t>
  </si>
  <si>
    <t xml:space="preserve">73195D1554C4DD1675DCE7176C70F383FD1FF76743F2739F096D18D3D50B4A70</t>
  </si>
  <si>
    <t xml:space="preserve">A74B5AA58D83A2CB90735D25BF380CE46D042A5E146E87A855F15646DC2EED5B</t>
  </si>
  <si>
    <t xml:space="preserve">D2699A04CEE85D83D579406D848118468AE5B79B93E02002F8241236413E99C9</t>
  </si>
  <si>
    <t xml:space="preserve">FF4EFE5E0651119E7F4858A9DCAA23C912D2E54EE75F474C101C8801694A03C0</t>
  </si>
  <si>
    <t xml:space="preserve">Method note</t>
  </si>
  <si>
    <t xml:space="preserve">The analysis uses deductive categories from the discussion guides and inductive themes repeated across transcripts.</t>
  </si>
  <si>
    <t xml:space="preserve">Counting rule</t>
  </si>
  <si>
    <t xml:space="preserve">Theme prevalence is counted once per EGD group. It is not a participant percentage or population estimate.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</si>
</sst>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24D"/>
      <name val="Arial"/>
      <family val="0"/>
      <charset val="1"/>
    </font>
    <font>
      <i val="true"/>
      <sz val="9"/>
      <color rgb="FF56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1"/>
      <color rgb="FFC6342E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sz val="9"/>
      <color rgb="FF222222"/>
      <name val="Arial"/>
      <family val="0"/>
      <charset val="1"/>
    </font>
    <font>
      <i val="true"/>
      <sz val="10"/>
      <color rgb="FF22222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24D"/>
        <bgColor rgb="FF222222"/>
      </patternFill>
    </fill>
    <fill>
      <patternFill patternType="solid">
        <fgColor rgb="FFEAF1F8"/>
        <bgColor rgb="FFF2F2F2"/>
      </patternFill>
    </fill>
    <fill>
      <patternFill patternType="solid">
        <fgColor rgb="FFC6342E"/>
        <bgColor rgb="FF993366"/>
      </patternFill>
    </fill>
    <fill>
      <patternFill patternType="solid">
        <fgColor rgb="FFFCE4D6"/>
        <bgColor rgb="FFFFF2CC"/>
      </patternFill>
    </fill>
    <fill>
      <patternFill patternType="solid">
        <fgColor rgb="FF2A7F8E"/>
        <bgColor rgb="FF008080"/>
      </patternFill>
    </fill>
    <fill>
      <patternFill patternType="solid">
        <fgColor rgb="FFE2F0D9"/>
        <bgColor rgb="FFEAF1F8"/>
      </patternFill>
    </fill>
    <fill>
      <patternFill patternType="solid">
        <fgColor rgb="FFFFF2CC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7324D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color rgb="FF777777"/>
      </font>
      <fill>
        <patternFill>
          <bgColor rgb="FFF2F2F2"/>
        </patternFill>
      </fill>
    </dxf>
    <dxf>
      <fill>
        <patternFill patternType="solid">
          <fgColor rgb="FF2A7F8E"/>
          <bgColor rgb="FF000000"/>
        </patternFill>
      </fill>
    </dxf>
    <dxf>
      <fill>
        <patternFill patternType="solid">
          <fgColor rgb="FFC634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A7F8E"/>
      <rgbColor rgb="FFC0C0C0"/>
      <rgbColor rgb="FF777777"/>
      <rgbColor rgb="FF9999FF"/>
      <rgbColor rgb="FF993366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17324D"/>
      <rgbColor rgb="FF339966"/>
      <rgbColor rgb="FF003300"/>
      <rgbColor rgb="FF333300"/>
      <rgbColor rgb="FFC6342E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8"/>
  </cols>
  <sheetData>
    <row r="2" customFormat="false" ht="19.7" hidden="false" customHeight="false" outlineLevel="0" collapsed="false">
      <c r="A2" s="1" t="s">
        <v>0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1</v>
      </c>
    </row>
    <row r="5" customFormat="false" ht="30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customFormat="false" ht="78" hidden="false" customHeight="tru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</row>
    <row r="9" customFormat="false" ht="15" hidden="false" customHeight="false" outlineLevel="0" collapsed="false">
      <c r="A9" s="6" t="s">
        <v>18</v>
      </c>
      <c r="B9" s="6" t="s">
        <v>19</v>
      </c>
      <c r="C9" s="6" t="s">
        <v>20</v>
      </c>
      <c r="D9" s="6"/>
      <c r="E9" s="6"/>
      <c r="F9" s="6"/>
      <c r="G9" s="6"/>
      <c r="H9" s="6"/>
    </row>
    <row r="10" customFormat="false" ht="45.75" hidden="false" customHeight="true" outlineLevel="0" collapsed="false">
      <c r="A10" s="7" t="s">
        <v>21</v>
      </c>
      <c r="B10" s="8" t="s">
        <v>22</v>
      </c>
      <c r="C10" s="8" t="s">
        <v>23</v>
      </c>
      <c r="D10" s="8"/>
      <c r="E10" s="8"/>
      <c r="F10" s="8"/>
      <c r="G10" s="8"/>
      <c r="H10" s="8"/>
    </row>
    <row r="11" customFormat="false" ht="45.75" hidden="false" customHeight="true" outlineLevel="0" collapsed="false">
      <c r="A11" s="7" t="s">
        <v>24</v>
      </c>
      <c r="B11" s="8" t="s">
        <v>25</v>
      </c>
      <c r="C11" s="8" t="s">
        <v>26</v>
      </c>
      <c r="D11" s="8"/>
      <c r="E11" s="8"/>
      <c r="F11" s="8"/>
      <c r="G11" s="8"/>
      <c r="H11" s="8"/>
    </row>
    <row r="12" customFormat="false" ht="45.75" hidden="false" customHeight="true" outlineLevel="0" collapsed="false">
      <c r="A12" s="7" t="s">
        <v>27</v>
      </c>
      <c r="B12" s="8" t="s">
        <v>28</v>
      </c>
      <c r="C12" s="8" t="s">
        <v>29</v>
      </c>
      <c r="D12" s="8"/>
      <c r="E12" s="8"/>
      <c r="F12" s="8"/>
      <c r="G12" s="8"/>
      <c r="H12" s="8"/>
    </row>
    <row r="13" customFormat="false" ht="45.75" hidden="false" customHeight="true" outlineLevel="0" collapsed="false">
      <c r="A13" s="7" t="s">
        <v>30</v>
      </c>
      <c r="B13" s="8" t="s">
        <v>31</v>
      </c>
      <c r="C13" s="8" t="s">
        <v>32</v>
      </c>
      <c r="D13" s="8"/>
      <c r="E13" s="8"/>
      <c r="F13" s="8"/>
      <c r="G13" s="8"/>
      <c r="H13" s="8"/>
    </row>
    <row r="14" customFormat="false" ht="45.75" hidden="false" customHeight="true" outlineLevel="0" collapsed="false">
      <c r="A14" s="7" t="s">
        <v>33</v>
      </c>
      <c r="B14" s="8" t="s">
        <v>34</v>
      </c>
      <c r="C14" s="8" t="s">
        <v>35</v>
      </c>
      <c r="D14" s="8"/>
      <c r="E14" s="8"/>
      <c r="F14" s="8"/>
      <c r="G14" s="8"/>
      <c r="H14" s="8"/>
    </row>
    <row r="15" customFormat="false" ht="45.75" hidden="false" customHeight="true" outlineLevel="0" collapsed="false">
      <c r="A15" s="7" t="s">
        <v>36</v>
      </c>
      <c r="B15" s="8" t="s">
        <v>37</v>
      </c>
      <c r="C15" s="8" t="s">
        <v>38</v>
      </c>
      <c r="D15" s="8"/>
      <c r="E15" s="8"/>
      <c r="F15" s="8"/>
      <c r="G15" s="8"/>
      <c r="H15" s="8"/>
    </row>
    <row r="18" customFormat="false" ht="15" hidden="false" customHeight="false" outlineLevel="0" collapsed="false">
      <c r="A18" s="9" t="s">
        <v>39</v>
      </c>
      <c r="B18" s="9" t="s">
        <v>40</v>
      </c>
      <c r="C18" s="9"/>
      <c r="D18" s="9"/>
      <c r="E18" s="9"/>
      <c r="F18" s="9" t="s">
        <v>41</v>
      </c>
      <c r="G18" s="9"/>
      <c r="H18" s="9"/>
    </row>
    <row r="19" customFormat="false" ht="51.75" hidden="false" customHeight="true" outlineLevel="0" collapsed="false">
      <c r="A19" s="10" t="s">
        <v>42</v>
      </c>
      <c r="B19" s="8" t="s">
        <v>43</v>
      </c>
      <c r="C19" s="8"/>
      <c r="D19" s="8"/>
      <c r="E19" s="8"/>
      <c r="F19" s="8" t="s">
        <v>44</v>
      </c>
      <c r="G19" s="8"/>
      <c r="H19" s="8"/>
    </row>
    <row r="20" customFormat="false" ht="51.75" hidden="false" customHeight="true" outlineLevel="0" collapsed="false">
      <c r="A20" s="10" t="s">
        <v>45</v>
      </c>
      <c r="B20" s="8" t="s">
        <v>46</v>
      </c>
      <c r="C20" s="8"/>
      <c r="D20" s="8"/>
      <c r="E20" s="8"/>
      <c r="F20" s="8" t="s">
        <v>47</v>
      </c>
      <c r="G20" s="8"/>
      <c r="H20" s="8"/>
    </row>
    <row r="21" customFormat="false" ht="51.75" hidden="false" customHeight="true" outlineLevel="0" collapsed="false">
      <c r="A21" s="10" t="s">
        <v>48</v>
      </c>
      <c r="B21" s="8" t="s">
        <v>49</v>
      </c>
      <c r="C21" s="8"/>
      <c r="D21" s="8"/>
      <c r="E21" s="8"/>
      <c r="F21" s="8" t="s">
        <v>50</v>
      </c>
      <c r="G21" s="8"/>
      <c r="H21" s="8"/>
    </row>
    <row r="22" customFormat="false" ht="51.75" hidden="false" customHeight="true" outlineLevel="0" collapsed="false">
      <c r="A22" s="10" t="s">
        <v>51</v>
      </c>
      <c r="B22" s="8" t="s">
        <v>52</v>
      </c>
      <c r="C22" s="8"/>
      <c r="D22" s="8"/>
      <c r="E22" s="8"/>
      <c r="F22" s="8" t="s">
        <v>53</v>
      </c>
      <c r="G22" s="8"/>
      <c r="H22" s="8"/>
    </row>
  </sheetData>
  <mergeCells count="17">
    <mergeCell ref="C9:H9"/>
    <mergeCell ref="C10:H10"/>
    <mergeCell ref="C11:H11"/>
    <mergeCell ref="C12:H12"/>
    <mergeCell ref="C13:H13"/>
    <mergeCell ref="C14:H14"/>
    <mergeCell ref="C15:H15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58"/>
  </cols>
  <sheetData>
    <row r="2" customFormat="false" ht="19.7" hidden="false" customHeight="false" outlineLevel="0" collapsed="false">
      <c r="A2" s="1" t="s">
        <v>54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55</v>
      </c>
    </row>
    <row r="5" customFormat="false" ht="33.75" hidden="false" customHeight="true" outlineLevel="0" collapsed="false">
      <c r="A5" s="4" t="s">
        <v>56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</row>
    <row r="6" customFormat="false" ht="60" hidden="false" customHeight="true" outlineLevel="0" collapsed="false">
      <c r="A6" s="11" t="s">
        <v>66</v>
      </c>
      <c r="B6" s="11" t="s">
        <v>67</v>
      </c>
      <c r="C6" s="11" t="s">
        <v>68</v>
      </c>
      <c r="D6" s="12" t="n">
        <v>1</v>
      </c>
      <c r="E6" s="12" t="n">
        <v>1</v>
      </c>
      <c r="F6" s="12" t="n">
        <v>1</v>
      </c>
      <c r="G6" s="12" t="n">
        <v>1</v>
      </c>
      <c r="H6" s="13" t="n">
        <f aca="false">SUM(D6:G6)</f>
        <v>4</v>
      </c>
      <c r="I6" s="14" t="n">
        <f aca="false">H6/4</f>
        <v>1</v>
      </c>
      <c r="J6" s="11" t="s">
        <v>69</v>
      </c>
    </row>
    <row r="7" customFormat="false" ht="60" hidden="false" customHeight="true" outlineLevel="0" collapsed="false">
      <c r="A7" s="11" t="s">
        <v>70</v>
      </c>
      <c r="B7" s="11" t="s">
        <v>71</v>
      </c>
      <c r="C7" s="11" t="s">
        <v>72</v>
      </c>
      <c r="D7" s="12" t="n">
        <v>1</v>
      </c>
      <c r="E7" s="12" t="n">
        <v>1</v>
      </c>
      <c r="F7" s="12" t="n">
        <v>1</v>
      </c>
      <c r="G7" s="12" t="n">
        <v>1</v>
      </c>
      <c r="H7" s="13" t="n">
        <f aca="false">SUM(D7:G7)</f>
        <v>4</v>
      </c>
      <c r="I7" s="14" t="n">
        <f aca="false">H7/4</f>
        <v>1</v>
      </c>
      <c r="J7" s="11" t="s">
        <v>73</v>
      </c>
    </row>
    <row r="8" customFormat="false" ht="60" hidden="false" customHeight="true" outlineLevel="0" collapsed="false">
      <c r="A8" s="11" t="s">
        <v>74</v>
      </c>
      <c r="B8" s="11" t="s">
        <v>75</v>
      </c>
      <c r="C8" s="11" t="s">
        <v>76</v>
      </c>
      <c r="D8" s="12" t="n">
        <v>1</v>
      </c>
      <c r="E8" s="12" t="n">
        <v>1</v>
      </c>
      <c r="F8" s="12" t="n">
        <v>1</v>
      </c>
      <c r="G8" s="12" t="n">
        <v>1</v>
      </c>
      <c r="H8" s="13" t="n">
        <f aca="false">SUM(D8:G8)</f>
        <v>4</v>
      </c>
      <c r="I8" s="14" t="n">
        <f aca="false">H8/4</f>
        <v>1</v>
      </c>
      <c r="J8" s="11" t="s">
        <v>77</v>
      </c>
    </row>
    <row r="9" customFormat="false" ht="60" hidden="false" customHeight="true" outlineLevel="0" collapsed="false">
      <c r="A9" s="11" t="s">
        <v>78</v>
      </c>
      <c r="B9" s="11" t="s">
        <v>79</v>
      </c>
      <c r="C9" s="11" t="s">
        <v>80</v>
      </c>
      <c r="D9" s="12" t="n">
        <v>1</v>
      </c>
      <c r="E9" s="12" t="n">
        <v>1</v>
      </c>
      <c r="F9" s="12" t="n">
        <v>1</v>
      </c>
      <c r="G9" s="12" t="n">
        <v>1</v>
      </c>
      <c r="H9" s="13" t="n">
        <f aca="false">SUM(D9:G9)</f>
        <v>4</v>
      </c>
      <c r="I9" s="14" t="n">
        <f aca="false">H9/4</f>
        <v>1</v>
      </c>
      <c r="J9" s="11" t="s">
        <v>81</v>
      </c>
    </row>
    <row r="10" customFormat="false" ht="60" hidden="false" customHeight="true" outlineLevel="0" collapsed="false">
      <c r="A10" s="11" t="s">
        <v>82</v>
      </c>
      <c r="B10" s="11" t="s">
        <v>83</v>
      </c>
      <c r="C10" s="11" t="s">
        <v>84</v>
      </c>
      <c r="D10" s="12" t="n">
        <v>1</v>
      </c>
      <c r="E10" s="12" t="n">
        <v>1</v>
      </c>
      <c r="F10" s="12" t="n">
        <v>1</v>
      </c>
      <c r="G10" s="12" t="n">
        <v>1</v>
      </c>
      <c r="H10" s="13" t="n">
        <f aca="false">SUM(D10:G10)</f>
        <v>4</v>
      </c>
      <c r="I10" s="14" t="n">
        <f aca="false">H10/4</f>
        <v>1</v>
      </c>
      <c r="J10" s="11" t="s">
        <v>85</v>
      </c>
    </row>
    <row r="11" customFormat="false" ht="60" hidden="false" customHeight="true" outlineLevel="0" collapsed="false">
      <c r="A11" s="11" t="s">
        <v>86</v>
      </c>
      <c r="B11" s="11" t="s">
        <v>87</v>
      </c>
      <c r="C11" s="11" t="s">
        <v>88</v>
      </c>
      <c r="D11" s="12" t="n">
        <v>1</v>
      </c>
      <c r="E11" s="12" t="n">
        <v>1</v>
      </c>
      <c r="F11" s="12" t="n">
        <v>1</v>
      </c>
      <c r="G11" s="12" t="n">
        <v>1</v>
      </c>
      <c r="H11" s="13" t="n">
        <f aca="false">SUM(D11:G11)</f>
        <v>4</v>
      </c>
      <c r="I11" s="14" t="n">
        <f aca="false">H11/4</f>
        <v>1</v>
      </c>
      <c r="J11" s="11" t="s">
        <v>89</v>
      </c>
    </row>
    <row r="12" customFormat="false" ht="60" hidden="false" customHeight="true" outlineLevel="0" collapsed="false">
      <c r="A12" s="11" t="s">
        <v>90</v>
      </c>
      <c r="B12" s="11" t="s">
        <v>91</v>
      </c>
      <c r="C12" s="11" t="s">
        <v>92</v>
      </c>
      <c r="D12" s="12" t="n">
        <v>1</v>
      </c>
      <c r="E12" s="12" t="n">
        <v>1</v>
      </c>
      <c r="F12" s="12" t="n">
        <v>1</v>
      </c>
      <c r="G12" s="12" t="n">
        <v>1</v>
      </c>
      <c r="H12" s="13" t="n">
        <f aca="false">SUM(D12:G12)</f>
        <v>4</v>
      </c>
      <c r="I12" s="14" t="n">
        <f aca="false">H12/4</f>
        <v>1</v>
      </c>
      <c r="J12" s="11" t="s">
        <v>93</v>
      </c>
    </row>
    <row r="13" customFormat="false" ht="60" hidden="false" customHeight="true" outlineLevel="0" collapsed="false">
      <c r="A13" s="11" t="s">
        <v>94</v>
      </c>
      <c r="B13" s="11" t="s">
        <v>95</v>
      </c>
      <c r="C13" s="11" t="s">
        <v>96</v>
      </c>
      <c r="D13" s="12" t="n">
        <v>1</v>
      </c>
      <c r="E13" s="12" t="n">
        <v>1</v>
      </c>
      <c r="F13" s="12" t="n">
        <v>1</v>
      </c>
      <c r="G13" s="12" t="n">
        <v>1</v>
      </c>
      <c r="H13" s="13" t="n">
        <f aca="false">SUM(D13:G13)</f>
        <v>4</v>
      </c>
      <c r="I13" s="14" t="n">
        <f aca="false">H13/4</f>
        <v>1</v>
      </c>
      <c r="J13" s="11" t="s">
        <v>97</v>
      </c>
    </row>
    <row r="14" customFormat="false" ht="60" hidden="false" customHeight="true" outlineLevel="0" collapsed="false">
      <c r="A14" s="11" t="s">
        <v>98</v>
      </c>
      <c r="B14" s="11" t="s">
        <v>99</v>
      </c>
      <c r="C14" s="11" t="s">
        <v>100</v>
      </c>
      <c r="D14" s="12" t="n">
        <v>1</v>
      </c>
      <c r="E14" s="12" t="n">
        <v>1</v>
      </c>
      <c r="F14" s="12" t="n">
        <v>1</v>
      </c>
      <c r="G14" s="12" t="n">
        <v>1</v>
      </c>
      <c r="H14" s="13" t="n">
        <f aca="false">SUM(D14:G14)</f>
        <v>4</v>
      </c>
      <c r="I14" s="14" t="n">
        <f aca="false">H14/4</f>
        <v>1</v>
      </c>
      <c r="J14" s="11" t="s">
        <v>101</v>
      </c>
    </row>
    <row r="15" customFormat="false" ht="60" hidden="false" customHeight="true" outlineLevel="0" collapsed="false">
      <c r="A15" s="11" t="s">
        <v>102</v>
      </c>
      <c r="B15" s="11" t="s">
        <v>103</v>
      </c>
      <c r="C15" s="11" t="s">
        <v>104</v>
      </c>
      <c r="D15" s="12" t="n">
        <v>1</v>
      </c>
      <c r="E15" s="12" t="n">
        <v>1</v>
      </c>
      <c r="F15" s="12" t="n">
        <v>1</v>
      </c>
      <c r="G15" s="12" t="n">
        <v>1</v>
      </c>
      <c r="H15" s="13" t="n">
        <f aca="false">SUM(D15:G15)</f>
        <v>4</v>
      </c>
      <c r="I15" s="14" t="n">
        <f aca="false">H15/4</f>
        <v>1</v>
      </c>
      <c r="J15" s="11" t="s">
        <v>105</v>
      </c>
    </row>
    <row r="16" customFormat="false" ht="60" hidden="false" customHeight="true" outlineLevel="0" collapsed="false">
      <c r="A16" s="11" t="s">
        <v>106</v>
      </c>
      <c r="B16" s="11" t="s">
        <v>107</v>
      </c>
      <c r="C16" s="11" t="s">
        <v>108</v>
      </c>
      <c r="D16" s="12" t="n">
        <v>1</v>
      </c>
      <c r="E16" s="12" t="n">
        <v>1</v>
      </c>
      <c r="F16" s="12" t="n">
        <v>1</v>
      </c>
      <c r="G16" s="12" t="n">
        <v>1</v>
      </c>
      <c r="H16" s="13" t="n">
        <f aca="false">SUM(D16:G16)</f>
        <v>4</v>
      </c>
      <c r="I16" s="14" t="n">
        <f aca="false">H16/4</f>
        <v>1</v>
      </c>
      <c r="J16" s="11" t="s">
        <v>109</v>
      </c>
    </row>
    <row r="17" customFormat="false" ht="60" hidden="false" customHeight="true" outlineLevel="0" collapsed="false">
      <c r="A17" s="11" t="s">
        <v>110</v>
      </c>
      <c r="B17" s="11" t="s">
        <v>111</v>
      </c>
      <c r="C17" s="11" t="s">
        <v>112</v>
      </c>
      <c r="D17" s="12" t="n">
        <v>1</v>
      </c>
      <c r="E17" s="12" t="n">
        <v>1</v>
      </c>
      <c r="F17" s="12" t="n">
        <v>1</v>
      </c>
      <c r="G17" s="12" t="n">
        <v>1</v>
      </c>
      <c r="H17" s="13" t="n">
        <f aca="false">SUM(D17:G17)</f>
        <v>4</v>
      </c>
      <c r="I17" s="14" t="n">
        <f aca="false">H17/4</f>
        <v>1</v>
      </c>
      <c r="J17" s="11" t="s">
        <v>113</v>
      </c>
    </row>
    <row r="18" customFormat="false" ht="60" hidden="false" customHeight="true" outlineLevel="0" collapsed="false">
      <c r="A18" s="11" t="s">
        <v>114</v>
      </c>
      <c r="B18" s="11" t="s">
        <v>115</v>
      </c>
      <c r="C18" s="11" t="s">
        <v>116</v>
      </c>
      <c r="D18" s="12" t="n">
        <v>1</v>
      </c>
      <c r="E18" s="12" t="n">
        <v>1</v>
      </c>
      <c r="F18" s="12" t="n">
        <v>1</v>
      </c>
      <c r="G18" s="12" t="n">
        <v>1</v>
      </c>
      <c r="H18" s="13" t="n">
        <f aca="false">SUM(D18:G18)</f>
        <v>4</v>
      </c>
      <c r="I18" s="14" t="n">
        <f aca="false">H18/4</f>
        <v>1</v>
      </c>
      <c r="J18" s="11" t="s">
        <v>117</v>
      </c>
    </row>
    <row r="19" customFormat="false" ht="60" hidden="false" customHeight="true" outlineLevel="0" collapsed="false">
      <c r="A19" s="11" t="s">
        <v>118</v>
      </c>
      <c r="B19" s="11" t="s">
        <v>119</v>
      </c>
      <c r="C19" s="11" t="s">
        <v>120</v>
      </c>
      <c r="D19" s="12" t="n">
        <v>1</v>
      </c>
      <c r="E19" s="12" t="n">
        <v>1</v>
      </c>
      <c r="F19" s="12" t="n">
        <v>1</v>
      </c>
      <c r="G19" s="12" t="n">
        <v>1</v>
      </c>
      <c r="H19" s="13" t="n">
        <f aca="false">SUM(D19:G19)</f>
        <v>4</v>
      </c>
      <c r="I19" s="14" t="n">
        <f aca="false">H19/4</f>
        <v>1</v>
      </c>
      <c r="J19" s="11" t="s">
        <v>121</v>
      </c>
    </row>
    <row r="20" customFormat="false" ht="60" hidden="false" customHeight="true" outlineLevel="0" collapsed="false">
      <c r="A20" s="11" t="s">
        <v>122</v>
      </c>
      <c r="B20" s="11" t="s">
        <v>123</v>
      </c>
      <c r="C20" s="11" t="s">
        <v>124</v>
      </c>
      <c r="D20" s="12" t="n">
        <v>1</v>
      </c>
      <c r="E20" s="12" t="n">
        <v>1</v>
      </c>
      <c r="F20" s="12" t="n">
        <v>1</v>
      </c>
      <c r="G20" s="12" t="n">
        <v>1</v>
      </c>
      <c r="H20" s="13" t="n">
        <f aca="false">SUM(D20:G20)</f>
        <v>4</v>
      </c>
      <c r="I20" s="14" t="n">
        <f aca="false">H20/4</f>
        <v>1</v>
      </c>
      <c r="J20" s="11" t="s">
        <v>125</v>
      </c>
    </row>
    <row r="21" customFormat="false" ht="60" hidden="false" customHeight="true" outlineLevel="0" collapsed="false">
      <c r="A21" s="11" t="s">
        <v>126</v>
      </c>
      <c r="B21" s="11" t="s">
        <v>127</v>
      </c>
      <c r="C21" s="11" t="s">
        <v>128</v>
      </c>
      <c r="D21" s="12" t="n">
        <v>1</v>
      </c>
      <c r="E21" s="12" t="n">
        <v>0</v>
      </c>
      <c r="F21" s="12" t="n">
        <v>1</v>
      </c>
      <c r="G21" s="12" t="n">
        <v>1</v>
      </c>
      <c r="H21" s="13" t="n">
        <f aca="false">SUM(D21:G21)</f>
        <v>3</v>
      </c>
      <c r="I21" s="14" t="n">
        <f aca="false">H21/4</f>
        <v>0.75</v>
      </c>
      <c r="J21" s="11" t="s">
        <v>129</v>
      </c>
    </row>
    <row r="22" customFormat="false" ht="60" hidden="false" customHeight="true" outlineLevel="0" collapsed="false">
      <c r="A22" s="11" t="s">
        <v>130</v>
      </c>
      <c r="B22" s="11" t="s">
        <v>131</v>
      </c>
      <c r="C22" s="11" t="s">
        <v>132</v>
      </c>
      <c r="D22" s="12" t="n">
        <v>1</v>
      </c>
      <c r="E22" s="12" t="n">
        <v>1</v>
      </c>
      <c r="F22" s="12" t="n">
        <v>1</v>
      </c>
      <c r="G22" s="12" t="n">
        <v>1</v>
      </c>
      <c r="H22" s="13" t="n">
        <f aca="false">SUM(D22:G22)</f>
        <v>4</v>
      </c>
      <c r="I22" s="14" t="n">
        <f aca="false">H22/4</f>
        <v>1</v>
      </c>
      <c r="J22" s="11" t="s">
        <v>133</v>
      </c>
    </row>
    <row r="23" customFormat="false" ht="60" hidden="false" customHeight="true" outlineLevel="0" collapsed="false">
      <c r="A23" s="11" t="s">
        <v>134</v>
      </c>
      <c r="B23" s="11" t="s">
        <v>135</v>
      </c>
      <c r="C23" s="11" t="s">
        <v>136</v>
      </c>
      <c r="D23" s="12" t="n">
        <v>1</v>
      </c>
      <c r="E23" s="12" t="n">
        <v>0</v>
      </c>
      <c r="F23" s="12" t="n">
        <v>1</v>
      </c>
      <c r="G23" s="12" t="n">
        <v>1</v>
      </c>
      <c r="H23" s="13" t="n">
        <f aca="false">SUM(D23:G23)</f>
        <v>3</v>
      </c>
      <c r="I23" s="14" t="n">
        <f aca="false">H23/4</f>
        <v>0.75</v>
      </c>
      <c r="J23" s="11" t="s">
        <v>137</v>
      </c>
    </row>
    <row r="25" customFormat="false" ht="15" hidden="false" customHeight="false" outlineLevel="0" collapsed="false">
      <c r="A25" s="3" t="s">
        <v>138</v>
      </c>
    </row>
  </sheetData>
  <autoFilter ref="A5:J23"/>
  <conditionalFormatting sqref="D6:G23">
    <cfRule type="cellIs" priority="2" operator="equal" aboveAverage="0" equalAverage="0" bottom="0" percent="0" rank="0" text="" dxfId="8">
      <formula>1</formula>
    </cfRule>
    <cfRule type="cellIs" priority="3" operator="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  <col collapsed="false" customWidth="true" hidden="false" outlineLevel="0" max="10" min="8" style="0" width="38"/>
    <col collapsed="false" customWidth="true" hidden="false" outlineLevel="0" max="12" min="11" style="0" width="40"/>
  </cols>
  <sheetData>
    <row r="2" customFormat="false" ht="19.7" hidden="false" customHeight="false" outlineLevel="0" collapsed="false">
      <c r="A2" s="1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140</v>
      </c>
    </row>
    <row r="5" customFormat="false" ht="33.75" hidden="false" customHeight="true" outlineLevel="0" collapsed="false">
      <c r="A5" s="4" t="s">
        <v>141</v>
      </c>
      <c r="B5" s="4" t="s">
        <v>142</v>
      </c>
      <c r="C5" s="4" t="s">
        <v>143</v>
      </c>
      <c r="D5" s="4" t="s">
        <v>144</v>
      </c>
      <c r="E5" s="4" t="s">
        <v>145</v>
      </c>
      <c r="F5" s="4" t="s">
        <v>146</v>
      </c>
      <c r="G5" s="4" t="s">
        <v>22</v>
      </c>
      <c r="H5" s="4" t="s">
        <v>147</v>
      </c>
      <c r="I5" s="4" t="s">
        <v>148</v>
      </c>
      <c r="J5" s="4" t="s">
        <v>149</v>
      </c>
      <c r="K5" s="4" t="s">
        <v>150</v>
      </c>
      <c r="L5" s="4" t="s">
        <v>151</v>
      </c>
    </row>
    <row r="6" customFormat="false" ht="111.75" hidden="false" customHeight="true" outlineLevel="0" collapsed="false">
      <c r="A6" s="11" t="s">
        <v>59</v>
      </c>
      <c r="B6" s="11" t="s">
        <v>152</v>
      </c>
      <c r="C6" s="11" t="s">
        <v>153</v>
      </c>
      <c r="D6" s="11" t="s">
        <v>154</v>
      </c>
      <c r="E6" s="11" t="s">
        <v>155</v>
      </c>
      <c r="F6" s="11" t="n">
        <v>6</v>
      </c>
      <c r="G6" s="11" t="s">
        <v>156</v>
      </c>
      <c r="H6" s="11" t="s">
        <v>157</v>
      </c>
      <c r="I6" s="11" t="s">
        <v>158</v>
      </c>
      <c r="J6" s="11" t="s">
        <v>159</v>
      </c>
      <c r="K6" s="11" t="s">
        <v>160</v>
      </c>
      <c r="L6" s="11" t="s">
        <v>161</v>
      </c>
    </row>
    <row r="7" customFormat="false" ht="111.75" hidden="false" customHeight="true" outlineLevel="0" collapsed="false">
      <c r="A7" s="11" t="s">
        <v>60</v>
      </c>
      <c r="B7" s="11" t="s">
        <v>152</v>
      </c>
      <c r="C7" s="11" t="s">
        <v>153</v>
      </c>
      <c r="D7" s="11" t="s">
        <v>162</v>
      </c>
      <c r="E7" s="11" t="s">
        <v>155</v>
      </c>
      <c r="F7" s="11" t="n">
        <v>7</v>
      </c>
      <c r="G7" s="11" t="s">
        <v>163</v>
      </c>
      <c r="H7" s="11" t="s">
        <v>164</v>
      </c>
      <c r="I7" s="11" t="s">
        <v>165</v>
      </c>
      <c r="J7" s="11" t="s">
        <v>166</v>
      </c>
      <c r="K7" s="11" t="s">
        <v>167</v>
      </c>
      <c r="L7" s="11" t="s">
        <v>168</v>
      </c>
    </row>
    <row r="8" customFormat="false" ht="111.75" hidden="false" customHeight="true" outlineLevel="0" collapsed="false">
      <c r="A8" s="11" t="s">
        <v>61</v>
      </c>
      <c r="B8" s="11" t="s">
        <v>169</v>
      </c>
      <c r="C8" s="11" t="s">
        <v>153</v>
      </c>
      <c r="D8" s="11" t="s">
        <v>154</v>
      </c>
      <c r="E8" s="11" t="s">
        <v>155</v>
      </c>
      <c r="F8" s="11" t="n">
        <v>8</v>
      </c>
      <c r="G8" s="11" t="s">
        <v>170</v>
      </c>
      <c r="H8" s="11" t="s">
        <v>171</v>
      </c>
      <c r="I8" s="11" t="s">
        <v>172</v>
      </c>
      <c r="J8" s="11" t="s">
        <v>173</v>
      </c>
      <c r="K8" s="11" t="s">
        <v>174</v>
      </c>
      <c r="L8" s="11" t="s">
        <v>175</v>
      </c>
    </row>
    <row r="9" customFormat="false" ht="111.75" hidden="false" customHeight="true" outlineLevel="0" collapsed="false">
      <c r="A9" s="11" t="s">
        <v>62</v>
      </c>
      <c r="B9" s="11" t="s">
        <v>169</v>
      </c>
      <c r="C9" s="11" t="s">
        <v>176</v>
      </c>
      <c r="D9" s="11" t="s">
        <v>162</v>
      </c>
      <c r="E9" s="11" t="s">
        <v>155</v>
      </c>
      <c r="F9" s="11" t="n">
        <v>7</v>
      </c>
      <c r="G9" s="11" t="s">
        <v>177</v>
      </c>
      <c r="H9" s="11" t="s">
        <v>178</v>
      </c>
      <c r="I9" s="11" t="s">
        <v>179</v>
      </c>
      <c r="J9" s="11" t="s">
        <v>180</v>
      </c>
      <c r="K9" s="11" t="s">
        <v>181</v>
      </c>
      <c r="L9" s="11" t="s">
        <v>182</v>
      </c>
    </row>
  </sheetData>
  <autoFilter ref="A5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70"/>
  </cols>
  <sheetData>
    <row r="2" customFormat="false" ht="19.7" hidden="false" customHeight="false" outlineLevel="0" collapsed="false">
      <c r="A2" s="1" t="s">
        <v>183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184</v>
      </c>
    </row>
    <row r="5" customFormat="false" ht="33.75" hidden="false" customHeight="true" outlineLevel="0" collapsed="false">
      <c r="A5" s="4" t="s">
        <v>141</v>
      </c>
      <c r="B5" s="4" t="s">
        <v>185</v>
      </c>
      <c r="C5" s="4" t="s">
        <v>186</v>
      </c>
      <c r="D5" s="4" t="s">
        <v>187</v>
      </c>
      <c r="E5" s="4" t="s">
        <v>188</v>
      </c>
      <c r="F5" s="4" t="s">
        <v>189</v>
      </c>
      <c r="G5" s="4" t="s">
        <v>190</v>
      </c>
    </row>
    <row r="6" customFormat="false" ht="33.75" hidden="false" customHeight="true" outlineLevel="0" collapsed="false">
      <c r="A6" s="11" t="s">
        <v>59</v>
      </c>
      <c r="B6" s="11" t="s">
        <v>191</v>
      </c>
      <c r="C6" s="11" t="s">
        <v>192</v>
      </c>
      <c r="D6" s="11" t="s">
        <v>193</v>
      </c>
      <c r="E6" s="11" t="n">
        <v>187</v>
      </c>
      <c r="F6" s="11" t="s">
        <v>194</v>
      </c>
      <c r="G6" s="11" t="s">
        <v>195</v>
      </c>
    </row>
    <row r="7" customFormat="false" ht="33.75" hidden="false" customHeight="true" outlineLevel="0" collapsed="false">
      <c r="A7" s="11" t="s">
        <v>59</v>
      </c>
      <c r="B7" s="11" t="s">
        <v>191</v>
      </c>
      <c r="C7" s="11" t="s">
        <v>196</v>
      </c>
      <c r="D7" s="11" t="s">
        <v>197</v>
      </c>
      <c r="E7" s="11" t="n">
        <v>191</v>
      </c>
      <c r="F7" s="11" t="s">
        <v>194</v>
      </c>
      <c r="G7" s="11" t="s">
        <v>195</v>
      </c>
    </row>
    <row r="8" customFormat="false" ht="33.75" hidden="false" customHeight="true" outlineLevel="0" collapsed="false">
      <c r="A8" s="11" t="s">
        <v>59</v>
      </c>
      <c r="B8" s="11" t="s">
        <v>191</v>
      </c>
      <c r="C8" s="11" t="s">
        <v>198</v>
      </c>
      <c r="D8" s="11" t="s">
        <v>199</v>
      </c>
      <c r="E8" s="11" t="n">
        <v>149</v>
      </c>
      <c r="F8" s="11" t="s">
        <v>194</v>
      </c>
      <c r="G8" s="11" t="s">
        <v>195</v>
      </c>
    </row>
    <row r="9" customFormat="false" ht="33.75" hidden="false" customHeight="true" outlineLevel="0" collapsed="false">
      <c r="A9" s="11" t="s">
        <v>59</v>
      </c>
      <c r="B9" s="11" t="s">
        <v>191</v>
      </c>
      <c r="C9" s="11" t="s">
        <v>200</v>
      </c>
      <c r="D9" s="11" t="s">
        <v>201</v>
      </c>
      <c r="E9" s="11" t="n">
        <v>109</v>
      </c>
      <c r="F9" s="11" t="s">
        <v>194</v>
      </c>
      <c r="G9" s="11" t="s">
        <v>195</v>
      </c>
    </row>
    <row r="10" customFormat="false" ht="33.75" hidden="false" customHeight="true" outlineLevel="0" collapsed="false">
      <c r="A10" s="11" t="s">
        <v>59</v>
      </c>
      <c r="B10" s="11" t="s">
        <v>191</v>
      </c>
      <c r="C10" s="11" t="s">
        <v>202</v>
      </c>
      <c r="D10" s="11" t="s">
        <v>203</v>
      </c>
      <c r="E10" s="11" t="n">
        <v>53</v>
      </c>
      <c r="F10" s="11" t="s">
        <v>194</v>
      </c>
      <c r="G10" s="11" t="s">
        <v>195</v>
      </c>
    </row>
    <row r="11" customFormat="false" ht="33.75" hidden="false" customHeight="true" outlineLevel="0" collapsed="false">
      <c r="A11" s="11" t="s">
        <v>59</v>
      </c>
      <c r="B11" s="11" t="s">
        <v>191</v>
      </c>
      <c r="C11" s="11" t="s">
        <v>204</v>
      </c>
      <c r="D11" s="11" t="s">
        <v>205</v>
      </c>
      <c r="E11" s="11" t="n">
        <v>310</v>
      </c>
      <c r="F11" s="11" t="s">
        <v>194</v>
      </c>
      <c r="G11" s="11" t="s">
        <v>195</v>
      </c>
    </row>
    <row r="12" customFormat="false" ht="33.75" hidden="false" customHeight="true" outlineLevel="0" collapsed="false">
      <c r="A12" s="11" t="s">
        <v>59</v>
      </c>
      <c r="B12" s="11" t="s">
        <v>191</v>
      </c>
      <c r="C12" s="11" t="s">
        <v>206</v>
      </c>
      <c r="D12" s="11" t="s">
        <v>207</v>
      </c>
      <c r="E12" s="11" t="n">
        <v>78</v>
      </c>
      <c r="F12" s="11" t="s">
        <v>194</v>
      </c>
      <c r="G12" s="11" t="s">
        <v>195</v>
      </c>
    </row>
    <row r="13" customFormat="false" ht="33.75" hidden="false" customHeight="true" outlineLevel="0" collapsed="false">
      <c r="A13" s="11" t="s">
        <v>59</v>
      </c>
      <c r="B13" s="11" t="s">
        <v>208</v>
      </c>
      <c r="C13" s="11" t="s">
        <v>209</v>
      </c>
      <c r="D13" s="11" t="s">
        <v>210</v>
      </c>
      <c r="E13" s="11" t="n">
        <v>60</v>
      </c>
      <c r="F13" s="11" t="s">
        <v>194</v>
      </c>
      <c r="G13" s="11" t="s">
        <v>195</v>
      </c>
    </row>
    <row r="14" customFormat="false" ht="33.75" hidden="false" customHeight="true" outlineLevel="0" collapsed="false">
      <c r="A14" s="11" t="s">
        <v>59</v>
      </c>
      <c r="B14" s="11" t="s">
        <v>208</v>
      </c>
      <c r="C14" s="11" t="s">
        <v>211</v>
      </c>
      <c r="D14" s="11" t="s">
        <v>212</v>
      </c>
      <c r="E14" s="11" t="n">
        <v>1215</v>
      </c>
      <c r="F14" s="11" t="s">
        <v>194</v>
      </c>
      <c r="G14" s="11" t="s">
        <v>195</v>
      </c>
    </row>
    <row r="15" customFormat="false" ht="33.75" hidden="false" customHeight="true" outlineLevel="0" collapsed="false">
      <c r="A15" s="11" t="s">
        <v>59</v>
      </c>
      <c r="B15" s="11" t="s">
        <v>191</v>
      </c>
      <c r="C15" s="11" t="s">
        <v>213</v>
      </c>
      <c r="D15" s="11" t="s">
        <v>214</v>
      </c>
      <c r="E15" s="11" t="n">
        <v>108</v>
      </c>
      <c r="F15" s="11" t="s">
        <v>194</v>
      </c>
      <c r="G15" s="11" t="s">
        <v>195</v>
      </c>
    </row>
    <row r="16" customFormat="false" ht="33.75" hidden="false" customHeight="true" outlineLevel="0" collapsed="false">
      <c r="A16" s="11" t="s">
        <v>59</v>
      </c>
      <c r="B16" s="11" t="s">
        <v>208</v>
      </c>
      <c r="C16" s="11" t="s">
        <v>215</v>
      </c>
      <c r="D16" s="11" t="s">
        <v>216</v>
      </c>
      <c r="E16" s="11" t="n">
        <v>217</v>
      </c>
      <c r="F16" s="11" t="s">
        <v>194</v>
      </c>
      <c r="G16" s="11" t="s">
        <v>195</v>
      </c>
    </row>
    <row r="17" customFormat="false" ht="33.75" hidden="false" customHeight="true" outlineLevel="0" collapsed="false">
      <c r="A17" s="11" t="s">
        <v>59</v>
      </c>
      <c r="B17" s="11" t="s">
        <v>217</v>
      </c>
      <c r="C17" s="11" t="s">
        <v>218</v>
      </c>
      <c r="D17" s="11" t="s">
        <v>219</v>
      </c>
      <c r="E17" s="11" t="n">
        <v>15</v>
      </c>
      <c r="F17" s="11" t="s">
        <v>194</v>
      </c>
      <c r="G17" s="11" t="s">
        <v>195</v>
      </c>
    </row>
    <row r="18" customFormat="false" ht="33.75" hidden="false" customHeight="true" outlineLevel="0" collapsed="false">
      <c r="A18" s="11" t="s">
        <v>59</v>
      </c>
      <c r="B18" s="11" t="s">
        <v>217</v>
      </c>
      <c r="C18" s="11" t="s">
        <v>220</v>
      </c>
      <c r="D18" s="11" t="s">
        <v>221</v>
      </c>
      <c r="E18" s="11" t="n">
        <v>83</v>
      </c>
      <c r="F18" s="11" t="s">
        <v>194</v>
      </c>
      <c r="G18" s="11" t="s">
        <v>195</v>
      </c>
    </row>
    <row r="19" customFormat="false" ht="33.75" hidden="false" customHeight="true" outlineLevel="0" collapsed="false">
      <c r="A19" s="11" t="s">
        <v>59</v>
      </c>
      <c r="B19" s="11" t="s">
        <v>217</v>
      </c>
      <c r="C19" s="11" t="s">
        <v>222</v>
      </c>
      <c r="D19" s="11" t="s">
        <v>223</v>
      </c>
      <c r="E19" s="11" t="n">
        <v>21</v>
      </c>
      <c r="F19" s="11" t="s">
        <v>194</v>
      </c>
      <c r="G19" s="11" t="s">
        <v>195</v>
      </c>
    </row>
    <row r="20" customFormat="false" ht="33.75" hidden="false" customHeight="true" outlineLevel="0" collapsed="false">
      <c r="A20" s="11" t="s">
        <v>59</v>
      </c>
      <c r="B20" s="11" t="s">
        <v>224</v>
      </c>
      <c r="C20" s="11" t="s">
        <v>225</v>
      </c>
      <c r="D20" s="11" t="s">
        <v>226</v>
      </c>
      <c r="E20" s="11" t="n">
        <v>51</v>
      </c>
      <c r="F20" s="11" t="s">
        <v>194</v>
      </c>
      <c r="G20" s="11" t="s">
        <v>195</v>
      </c>
    </row>
    <row r="21" customFormat="false" ht="33.75" hidden="false" customHeight="true" outlineLevel="0" collapsed="false">
      <c r="A21" s="11" t="s">
        <v>59</v>
      </c>
      <c r="B21" s="11" t="s">
        <v>217</v>
      </c>
      <c r="C21" s="11" t="s">
        <v>227</v>
      </c>
      <c r="D21" s="11" t="s">
        <v>228</v>
      </c>
      <c r="E21" s="11" t="n">
        <v>32</v>
      </c>
      <c r="F21" s="11" t="s">
        <v>194</v>
      </c>
      <c r="G21" s="11" t="s">
        <v>195</v>
      </c>
    </row>
    <row r="22" customFormat="false" ht="33.75" hidden="false" customHeight="true" outlineLevel="0" collapsed="false">
      <c r="A22" s="11" t="s">
        <v>59</v>
      </c>
      <c r="B22" s="11" t="s">
        <v>191</v>
      </c>
      <c r="C22" s="11" t="s">
        <v>229</v>
      </c>
      <c r="D22" s="11" t="s">
        <v>230</v>
      </c>
      <c r="E22" s="11" t="n">
        <v>38</v>
      </c>
      <c r="F22" s="11" t="s">
        <v>194</v>
      </c>
      <c r="G22" s="11" t="s">
        <v>195</v>
      </c>
    </row>
    <row r="23" customFormat="false" ht="33.75" hidden="false" customHeight="true" outlineLevel="0" collapsed="false">
      <c r="A23" s="11" t="s">
        <v>59</v>
      </c>
      <c r="B23" s="11" t="s">
        <v>217</v>
      </c>
      <c r="C23" s="11" t="s">
        <v>231</v>
      </c>
      <c r="D23" s="11" t="s">
        <v>232</v>
      </c>
      <c r="E23" s="11" t="n">
        <v>64</v>
      </c>
      <c r="F23" s="11" t="s">
        <v>194</v>
      </c>
      <c r="G23" s="11" t="s">
        <v>195</v>
      </c>
    </row>
    <row r="24" customFormat="false" ht="33.75" hidden="false" customHeight="true" outlineLevel="0" collapsed="false">
      <c r="A24" s="11" t="s">
        <v>59</v>
      </c>
      <c r="B24" s="11" t="s">
        <v>217</v>
      </c>
      <c r="C24" s="11" t="s">
        <v>233</v>
      </c>
      <c r="D24" s="11" t="s">
        <v>234</v>
      </c>
      <c r="E24" s="11" t="n">
        <v>32</v>
      </c>
      <c r="F24" s="11" t="s">
        <v>194</v>
      </c>
      <c r="G24" s="11" t="s">
        <v>195</v>
      </c>
    </row>
    <row r="25" customFormat="false" ht="33.75" hidden="false" customHeight="true" outlineLevel="0" collapsed="false">
      <c r="A25" s="11" t="s">
        <v>59</v>
      </c>
      <c r="B25" s="11" t="s">
        <v>217</v>
      </c>
      <c r="C25" s="11" t="s">
        <v>235</v>
      </c>
      <c r="D25" s="11" t="s">
        <v>236</v>
      </c>
      <c r="E25" s="11" t="n">
        <v>47</v>
      </c>
      <c r="F25" s="11" t="s">
        <v>194</v>
      </c>
      <c r="G25" s="11" t="s">
        <v>195</v>
      </c>
    </row>
    <row r="26" customFormat="false" ht="33.75" hidden="false" customHeight="true" outlineLevel="0" collapsed="false">
      <c r="A26" s="11" t="s">
        <v>59</v>
      </c>
      <c r="B26" s="11" t="s">
        <v>224</v>
      </c>
      <c r="C26" s="11" t="s">
        <v>237</v>
      </c>
      <c r="D26" s="11" t="s">
        <v>238</v>
      </c>
      <c r="E26" s="11" t="n">
        <v>4</v>
      </c>
      <c r="F26" s="11" t="s">
        <v>194</v>
      </c>
      <c r="G26" s="11" t="s">
        <v>195</v>
      </c>
    </row>
    <row r="27" customFormat="false" ht="33.75" hidden="false" customHeight="true" outlineLevel="0" collapsed="false">
      <c r="A27" s="11" t="s">
        <v>59</v>
      </c>
      <c r="B27" s="11" t="s">
        <v>224</v>
      </c>
      <c r="C27" s="11" t="s">
        <v>239</v>
      </c>
      <c r="D27" s="11" t="s">
        <v>240</v>
      </c>
      <c r="E27" s="11" t="n">
        <v>45</v>
      </c>
      <c r="F27" s="11" t="s">
        <v>194</v>
      </c>
      <c r="G27" s="11" t="s">
        <v>195</v>
      </c>
    </row>
    <row r="28" customFormat="false" ht="33.75" hidden="false" customHeight="true" outlineLevel="0" collapsed="false">
      <c r="A28" s="11" t="s">
        <v>59</v>
      </c>
      <c r="B28" s="11" t="s">
        <v>224</v>
      </c>
      <c r="C28" s="11" t="s">
        <v>241</v>
      </c>
      <c r="D28" s="11" t="s">
        <v>242</v>
      </c>
      <c r="E28" s="11" t="n">
        <v>80</v>
      </c>
      <c r="F28" s="11" t="s">
        <v>194</v>
      </c>
      <c r="G28" s="11" t="s">
        <v>195</v>
      </c>
    </row>
    <row r="29" customFormat="false" ht="33.75" hidden="false" customHeight="true" outlineLevel="0" collapsed="false">
      <c r="A29" s="11" t="s">
        <v>59</v>
      </c>
      <c r="B29" s="11" t="s">
        <v>224</v>
      </c>
      <c r="C29" s="11" t="s">
        <v>243</v>
      </c>
      <c r="D29" s="11" t="s">
        <v>244</v>
      </c>
      <c r="E29" s="11" t="n">
        <v>126</v>
      </c>
      <c r="F29" s="11" t="s">
        <v>194</v>
      </c>
      <c r="G29" s="11" t="s">
        <v>195</v>
      </c>
    </row>
    <row r="30" customFormat="false" ht="33.75" hidden="false" customHeight="true" outlineLevel="0" collapsed="false">
      <c r="A30" s="11" t="s">
        <v>60</v>
      </c>
      <c r="B30" s="11" t="s">
        <v>191</v>
      </c>
      <c r="C30" s="11" t="s">
        <v>192</v>
      </c>
      <c r="D30" s="11" t="s">
        <v>245</v>
      </c>
      <c r="E30" s="11" t="n">
        <v>277</v>
      </c>
      <c r="F30" s="11" t="s">
        <v>194</v>
      </c>
      <c r="G30" s="11" t="s">
        <v>246</v>
      </c>
    </row>
    <row r="31" customFormat="false" ht="33.75" hidden="false" customHeight="true" outlineLevel="0" collapsed="false">
      <c r="A31" s="11" t="s">
        <v>60</v>
      </c>
      <c r="B31" s="11" t="s">
        <v>191</v>
      </c>
      <c r="C31" s="11" t="s">
        <v>247</v>
      </c>
      <c r="D31" s="11" t="s">
        <v>248</v>
      </c>
      <c r="E31" s="11" t="n">
        <v>135</v>
      </c>
      <c r="F31" s="11" t="s">
        <v>194</v>
      </c>
      <c r="G31" s="11" t="s">
        <v>246</v>
      </c>
    </row>
    <row r="32" customFormat="false" ht="33.75" hidden="false" customHeight="true" outlineLevel="0" collapsed="false">
      <c r="A32" s="11" t="s">
        <v>60</v>
      </c>
      <c r="B32" s="11" t="s">
        <v>191</v>
      </c>
      <c r="C32" s="11" t="s">
        <v>198</v>
      </c>
      <c r="D32" s="11" t="s">
        <v>249</v>
      </c>
      <c r="E32" s="11" t="n">
        <v>159</v>
      </c>
      <c r="F32" s="11" t="s">
        <v>194</v>
      </c>
      <c r="G32" s="11" t="s">
        <v>246</v>
      </c>
    </row>
    <row r="33" customFormat="false" ht="33.75" hidden="false" customHeight="true" outlineLevel="0" collapsed="false">
      <c r="A33" s="11" t="s">
        <v>60</v>
      </c>
      <c r="B33" s="11" t="s">
        <v>224</v>
      </c>
      <c r="C33" s="11" t="s">
        <v>250</v>
      </c>
      <c r="D33" s="11" t="s">
        <v>251</v>
      </c>
      <c r="E33" s="11" t="n">
        <v>80</v>
      </c>
      <c r="F33" s="11" t="s">
        <v>194</v>
      </c>
      <c r="G33" s="11" t="s">
        <v>246</v>
      </c>
    </row>
    <row r="34" customFormat="false" ht="33.75" hidden="false" customHeight="true" outlineLevel="0" collapsed="false">
      <c r="A34" s="11" t="s">
        <v>60</v>
      </c>
      <c r="B34" s="11" t="s">
        <v>191</v>
      </c>
      <c r="C34" s="11" t="s">
        <v>204</v>
      </c>
      <c r="D34" s="11" t="s">
        <v>252</v>
      </c>
      <c r="E34" s="11" t="n">
        <v>61</v>
      </c>
      <c r="F34" s="11" t="s">
        <v>194</v>
      </c>
      <c r="G34" s="11" t="s">
        <v>246</v>
      </c>
    </row>
    <row r="35" customFormat="false" ht="33.75" hidden="false" customHeight="true" outlineLevel="0" collapsed="false">
      <c r="A35" s="11" t="s">
        <v>60</v>
      </c>
      <c r="B35" s="11" t="s">
        <v>224</v>
      </c>
      <c r="C35" s="11" t="s">
        <v>253</v>
      </c>
      <c r="D35" s="11" t="s">
        <v>254</v>
      </c>
      <c r="E35" s="11" t="n">
        <v>185</v>
      </c>
      <c r="F35" s="11" t="s">
        <v>194</v>
      </c>
      <c r="G35" s="11" t="s">
        <v>246</v>
      </c>
    </row>
    <row r="36" customFormat="false" ht="33.75" hidden="false" customHeight="true" outlineLevel="0" collapsed="false">
      <c r="A36" s="11" t="s">
        <v>60</v>
      </c>
      <c r="B36" s="11" t="s">
        <v>191</v>
      </c>
      <c r="C36" s="11" t="s">
        <v>255</v>
      </c>
      <c r="D36" s="11" t="s">
        <v>256</v>
      </c>
      <c r="E36" s="11" t="n">
        <v>323</v>
      </c>
      <c r="F36" s="11" t="s">
        <v>194</v>
      </c>
      <c r="G36" s="11" t="s">
        <v>246</v>
      </c>
    </row>
    <row r="37" customFormat="false" ht="33.75" hidden="false" customHeight="true" outlineLevel="0" collapsed="false">
      <c r="A37" s="11" t="s">
        <v>60</v>
      </c>
      <c r="B37" s="11" t="s">
        <v>191</v>
      </c>
      <c r="C37" s="11" t="s">
        <v>257</v>
      </c>
      <c r="D37" s="11" t="s">
        <v>258</v>
      </c>
      <c r="E37" s="11" t="n">
        <v>90</v>
      </c>
      <c r="F37" s="11" t="s">
        <v>194</v>
      </c>
      <c r="G37" s="11" t="s">
        <v>246</v>
      </c>
    </row>
    <row r="38" customFormat="false" ht="33.75" hidden="false" customHeight="true" outlineLevel="0" collapsed="false">
      <c r="A38" s="11" t="s">
        <v>60</v>
      </c>
      <c r="B38" s="11" t="s">
        <v>191</v>
      </c>
      <c r="C38" s="11" t="s">
        <v>259</v>
      </c>
      <c r="D38" s="11" t="s">
        <v>260</v>
      </c>
      <c r="E38" s="11" t="n">
        <v>117</v>
      </c>
      <c r="F38" s="11" t="s">
        <v>194</v>
      </c>
      <c r="G38" s="11" t="s">
        <v>246</v>
      </c>
    </row>
    <row r="39" customFormat="false" ht="33.75" hidden="false" customHeight="true" outlineLevel="0" collapsed="false">
      <c r="A39" s="11" t="s">
        <v>60</v>
      </c>
      <c r="B39" s="11" t="s">
        <v>208</v>
      </c>
      <c r="C39" s="11" t="s">
        <v>209</v>
      </c>
      <c r="D39" s="11" t="s">
        <v>261</v>
      </c>
      <c r="E39" s="11" t="n">
        <v>53</v>
      </c>
      <c r="F39" s="11" t="s">
        <v>194</v>
      </c>
      <c r="G39" s="11" t="s">
        <v>246</v>
      </c>
    </row>
    <row r="40" customFormat="false" ht="33.75" hidden="false" customHeight="true" outlineLevel="0" collapsed="false">
      <c r="A40" s="11" t="s">
        <v>60</v>
      </c>
      <c r="B40" s="11" t="s">
        <v>208</v>
      </c>
      <c r="C40" s="11" t="s">
        <v>211</v>
      </c>
      <c r="D40" s="11" t="s">
        <v>262</v>
      </c>
      <c r="E40" s="11" t="n">
        <v>776</v>
      </c>
      <c r="F40" s="11" t="s">
        <v>194</v>
      </c>
      <c r="G40" s="11" t="s">
        <v>246</v>
      </c>
    </row>
    <row r="41" customFormat="false" ht="33.75" hidden="false" customHeight="true" outlineLevel="0" collapsed="false">
      <c r="A41" s="11" t="s">
        <v>60</v>
      </c>
      <c r="B41" s="11" t="s">
        <v>208</v>
      </c>
      <c r="C41" s="11" t="s">
        <v>263</v>
      </c>
      <c r="D41" s="11" t="s">
        <v>264</v>
      </c>
      <c r="E41" s="11" t="n">
        <v>123</v>
      </c>
      <c r="F41" s="11" t="s">
        <v>194</v>
      </c>
      <c r="G41" s="11" t="s">
        <v>246</v>
      </c>
    </row>
    <row r="42" customFormat="false" ht="33.75" hidden="false" customHeight="true" outlineLevel="0" collapsed="false">
      <c r="A42" s="11" t="s">
        <v>60</v>
      </c>
      <c r="B42" s="11" t="s">
        <v>208</v>
      </c>
      <c r="C42" s="11" t="s">
        <v>265</v>
      </c>
      <c r="D42" s="11" t="s">
        <v>266</v>
      </c>
      <c r="E42" s="11" t="n">
        <v>260</v>
      </c>
      <c r="F42" s="11" t="s">
        <v>194</v>
      </c>
      <c r="G42" s="11" t="s">
        <v>246</v>
      </c>
    </row>
    <row r="43" customFormat="false" ht="33.75" hidden="false" customHeight="true" outlineLevel="0" collapsed="false">
      <c r="A43" s="11" t="s">
        <v>60</v>
      </c>
      <c r="B43" s="11" t="s">
        <v>217</v>
      </c>
      <c r="C43" s="11" t="s">
        <v>267</v>
      </c>
      <c r="D43" s="11" t="s">
        <v>268</v>
      </c>
      <c r="E43" s="11" t="n">
        <v>37</v>
      </c>
      <c r="F43" s="11" t="s">
        <v>194</v>
      </c>
      <c r="G43" s="11" t="s">
        <v>246</v>
      </c>
    </row>
    <row r="44" customFormat="false" ht="33.75" hidden="false" customHeight="true" outlineLevel="0" collapsed="false">
      <c r="A44" s="11" t="s">
        <v>60</v>
      </c>
      <c r="B44" s="11" t="s">
        <v>224</v>
      </c>
      <c r="C44" s="11" t="s">
        <v>269</v>
      </c>
      <c r="D44" s="11" t="s">
        <v>270</v>
      </c>
      <c r="E44" s="11" t="n">
        <v>51</v>
      </c>
      <c r="F44" s="11" t="s">
        <v>194</v>
      </c>
      <c r="G44" s="11" t="s">
        <v>246</v>
      </c>
    </row>
    <row r="45" customFormat="false" ht="33.75" hidden="false" customHeight="true" outlineLevel="0" collapsed="false">
      <c r="A45" s="11" t="s">
        <v>60</v>
      </c>
      <c r="B45" s="11" t="s">
        <v>217</v>
      </c>
      <c r="C45" s="11" t="s">
        <v>271</v>
      </c>
      <c r="D45" s="11" t="s">
        <v>272</v>
      </c>
      <c r="E45" s="11" t="n">
        <v>31</v>
      </c>
      <c r="F45" s="11" t="s">
        <v>194</v>
      </c>
      <c r="G45" s="11" t="s">
        <v>246</v>
      </c>
    </row>
    <row r="46" customFormat="false" ht="33.75" hidden="false" customHeight="true" outlineLevel="0" collapsed="false">
      <c r="A46" s="11" t="s">
        <v>60</v>
      </c>
      <c r="B46" s="11" t="s">
        <v>217</v>
      </c>
      <c r="C46" s="11" t="s">
        <v>273</v>
      </c>
      <c r="D46" s="11" t="s">
        <v>274</v>
      </c>
      <c r="E46" s="11" t="n">
        <v>89</v>
      </c>
      <c r="F46" s="11" t="s">
        <v>194</v>
      </c>
      <c r="G46" s="11" t="s">
        <v>246</v>
      </c>
    </row>
    <row r="47" customFormat="false" ht="33.75" hidden="false" customHeight="true" outlineLevel="0" collapsed="false">
      <c r="A47" s="11" t="s">
        <v>60</v>
      </c>
      <c r="B47" s="11" t="s">
        <v>217</v>
      </c>
      <c r="C47" s="11" t="s">
        <v>275</v>
      </c>
      <c r="D47" s="11" t="s">
        <v>276</v>
      </c>
      <c r="E47" s="11" t="n">
        <v>441</v>
      </c>
      <c r="F47" s="11" t="s">
        <v>194</v>
      </c>
      <c r="G47" s="11" t="s">
        <v>246</v>
      </c>
    </row>
    <row r="48" customFormat="false" ht="33.75" hidden="false" customHeight="true" outlineLevel="0" collapsed="false">
      <c r="A48" s="11" t="s">
        <v>60</v>
      </c>
      <c r="B48" s="11" t="s">
        <v>224</v>
      </c>
      <c r="C48" s="11" t="s">
        <v>277</v>
      </c>
      <c r="D48" s="11" t="s">
        <v>278</v>
      </c>
      <c r="E48" s="11" t="n">
        <v>28</v>
      </c>
      <c r="F48" s="11" t="s">
        <v>194</v>
      </c>
      <c r="G48" s="11" t="s">
        <v>246</v>
      </c>
    </row>
    <row r="49" customFormat="false" ht="33.75" hidden="false" customHeight="true" outlineLevel="0" collapsed="false">
      <c r="A49" s="11" t="s">
        <v>60</v>
      </c>
      <c r="B49" s="11" t="s">
        <v>224</v>
      </c>
      <c r="C49" s="11" t="s">
        <v>279</v>
      </c>
      <c r="D49" s="11" t="s">
        <v>280</v>
      </c>
      <c r="E49" s="11" t="n">
        <v>111</v>
      </c>
      <c r="F49" s="11" t="s">
        <v>194</v>
      </c>
      <c r="G49" s="11" t="s">
        <v>246</v>
      </c>
    </row>
    <row r="50" customFormat="false" ht="33.75" hidden="false" customHeight="true" outlineLevel="0" collapsed="false">
      <c r="A50" s="11" t="s">
        <v>60</v>
      </c>
      <c r="B50" s="11" t="s">
        <v>224</v>
      </c>
      <c r="C50" s="11" t="s">
        <v>281</v>
      </c>
      <c r="D50" s="11" t="s">
        <v>282</v>
      </c>
      <c r="E50" s="11" t="n">
        <v>109</v>
      </c>
      <c r="F50" s="11" t="s">
        <v>194</v>
      </c>
      <c r="G50" s="11" t="s">
        <v>246</v>
      </c>
    </row>
    <row r="51" customFormat="false" ht="33.75" hidden="false" customHeight="true" outlineLevel="0" collapsed="false">
      <c r="A51" s="11" t="s">
        <v>60</v>
      </c>
      <c r="B51" s="11" t="s">
        <v>224</v>
      </c>
      <c r="C51" s="11" t="s">
        <v>243</v>
      </c>
      <c r="D51" s="11" t="s">
        <v>283</v>
      </c>
      <c r="E51" s="11" t="n">
        <v>82</v>
      </c>
      <c r="F51" s="11" t="s">
        <v>194</v>
      </c>
      <c r="G51" s="11" t="s">
        <v>246</v>
      </c>
    </row>
    <row r="52" customFormat="false" ht="33.75" hidden="false" customHeight="true" outlineLevel="0" collapsed="false">
      <c r="A52" s="11" t="s">
        <v>61</v>
      </c>
      <c r="B52" s="11" t="s">
        <v>191</v>
      </c>
      <c r="C52" s="11" t="s">
        <v>192</v>
      </c>
      <c r="D52" s="11" t="s">
        <v>284</v>
      </c>
      <c r="E52" s="11" t="n">
        <v>182</v>
      </c>
      <c r="F52" s="11" t="s">
        <v>194</v>
      </c>
      <c r="G52" s="11" t="s">
        <v>285</v>
      </c>
    </row>
    <row r="53" customFormat="false" ht="33.75" hidden="false" customHeight="true" outlineLevel="0" collapsed="false">
      <c r="A53" s="11" t="s">
        <v>61</v>
      </c>
      <c r="B53" s="11" t="s">
        <v>191</v>
      </c>
      <c r="C53" s="11" t="s">
        <v>286</v>
      </c>
      <c r="D53" s="11" t="s">
        <v>287</v>
      </c>
      <c r="E53" s="11" t="n">
        <v>188</v>
      </c>
      <c r="F53" s="11" t="s">
        <v>194</v>
      </c>
      <c r="G53" s="11" t="s">
        <v>285</v>
      </c>
    </row>
    <row r="54" customFormat="false" ht="33.75" hidden="false" customHeight="true" outlineLevel="0" collapsed="false">
      <c r="A54" s="11" t="s">
        <v>61</v>
      </c>
      <c r="B54" s="11" t="s">
        <v>224</v>
      </c>
      <c r="C54" s="11" t="s">
        <v>288</v>
      </c>
      <c r="D54" s="11" t="s">
        <v>289</v>
      </c>
      <c r="E54" s="11" t="n">
        <v>65</v>
      </c>
      <c r="F54" s="11" t="s">
        <v>194</v>
      </c>
      <c r="G54" s="11" t="s">
        <v>285</v>
      </c>
    </row>
    <row r="55" customFormat="false" ht="33.75" hidden="false" customHeight="true" outlineLevel="0" collapsed="false">
      <c r="A55" s="11" t="s">
        <v>61</v>
      </c>
      <c r="B55" s="11" t="s">
        <v>191</v>
      </c>
      <c r="C55" s="11" t="s">
        <v>198</v>
      </c>
      <c r="D55" s="11" t="s">
        <v>290</v>
      </c>
      <c r="E55" s="11" t="n">
        <v>192</v>
      </c>
      <c r="F55" s="11" t="s">
        <v>194</v>
      </c>
      <c r="G55" s="11" t="s">
        <v>285</v>
      </c>
    </row>
    <row r="56" customFormat="false" ht="33.75" hidden="false" customHeight="true" outlineLevel="0" collapsed="false">
      <c r="A56" s="11" t="s">
        <v>61</v>
      </c>
      <c r="B56" s="11" t="s">
        <v>191</v>
      </c>
      <c r="C56" s="11" t="s">
        <v>291</v>
      </c>
      <c r="D56" s="11" t="s">
        <v>292</v>
      </c>
      <c r="E56" s="11" t="n">
        <v>30</v>
      </c>
      <c r="F56" s="11" t="s">
        <v>194</v>
      </c>
      <c r="G56" s="11" t="s">
        <v>285</v>
      </c>
    </row>
    <row r="57" customFormat="false" ht="33.75" hidden="false" customHeight="true" outlineLevel="0" collapsed="false">
      <c r="A57" s="11" t="s">
        <v>61</v>
      </c>
      <c r="B57" s="11" t="s">
        <v>191</v>
      </c>
      <c r="C57" s="11" t="s">
        <v>200</v>
      </c>
      <c r="D57" s="11" t="s">
        <v>293</v>
      </c>
      <c r="E57" s="11" t="n">
        <v>57</v>
      </c>
      <c r="F57" s="11" t="s">
        <v>194</v>
      </c>
      <c r="G57" s="11" t="s">
        <v>285</v>
      </c>
    </row>
    <row r="58" customFormat="false" ht="33.75" hidden="false" customHeight="true" outlineLevel="0" collapsed="false">
      <c r="A58" s="11" t="s">
        <v>61</v>
      </c>
      <c r="B58" s="11" t="s">
        <v>191</v>
      </c>
      <c r="C58" s="11" t="s">
        <v>202</v>
      </c>
      <c r="D58" s="11" t="s">
        <v>294</v>
      </c>
      <c r="E58" s="11" t="n">
        <v>34</v>
      </c>
      <c r="F58" s="11" t="s">
        <v>194</v>
      </c>
      <c r="G58" s="11" t="s">
        <v>285</v>
      </c>
    </row>
    <row r="59" customFormat="false" ht="33.75" hidden="false" customHeight="true" outlineLevel="0" collapsed="false">
      <c r="A59" s="11" t="s">
        <v>61</v>
      </c>
      <c r="B59" s="11" t="s">
        <v>191</v>
      </c>
      <c r="C59" s="11" t="s">
        <v>295</v>
      </c>
      <c r="D59" s="11" t="s">
        <v>296</v>
      </c>
      <c r="E59" s="11" t="n">
        <v>172</v>
      </c>
      <c r="F59" s="11" t="s">
        <v>194</v>
      </c>
      <c r="G59" s="11" t="s">
        <v>285</v>
      </c>
    </row>
    <row r="60" customFormat="false" ht="33.75" hidden="false" customHeight="true" outlineLevel="0" collapsed="false">
      <c r="A60" s="11" t="s">
        <v>61</v>
      </c>
      <c r="B60" s="11" t="s">
        <v>224</v>
      </c>
      <c r="C60" s="11" t="s">
        <v>297</v>
      </c>
      <c r="D60" s="11" t="s">
        <v>298</v>
      </c>
      <c r="E60" s="11" t="n">
        <v>204</v>
      </c>
      <c r="F60" s="11" t="s">
        <v>194</v>
      </c>
      <c r="G60" s="11" t="s">
        <v>285</v>
      </c>
    </row>
    <row r="61" customFormat="false" ht="33.75" hidden="false" customHeight="true" outlineLevel="0" collapsed="false">
      <c r="A61" s="11" t="s">
        <v>61</v>
      </c>
      <c r="B61" s="11" t="s">
        <v>208</v>
      </c>
      <c r="C61" s="11" t="s">
        <v>209</v>
      </c>
      <c r="D61" s="11" t="s">
        <v>299</v>
      </c>
      <c r="E61" s="11" t="n">
        <v>26</v>
      </c>
      <c r="F61" s="11" t="s">
        <v>194</v>
      </c>
      <c r="G61" s="11" t="s">
        <v>285</v>
      </c>
    </row>
    <row r="62" customFormat="false" ht="33.75" hidden="false" customHeight="true" outlineLevel="0" collapsed="false">
      <c r="A62" s="11" t="s">
        <v>61</v>
      </c>
      <c r="B62" s="11" t="s">
        <v>208</v>
      </c>
      <c r="C62" s="11" t="s">
        <v>300</v>
      </c>
      <c r="D62" s="11" t="s">
        <v>301</v>
      </c>
      <c r="E62" s="11" t="n">
        <v>619</v>
      </c>
      <c r="F62" s="11" t="s">
        <v>194</v>
      </c>
      <c r="G62" s="11" t="s">
        <v>285</v>
      </c>
    </row>
    <row r="63" customFormat="false" ht="33.75" hidden="false" customHeight="true" outlineLevel="0" collapsed="false">
      <c r="A63" s="11" t="s">
        <v>61</v>
      </c>
      <c r="B63" s="11" t="s">
        <v>208</v>
      </c>
      <c r="C63" s="11" t="s">
        <v>302</v>
      </c>
      <c r="D63" s="11" t="s">
        <v>303</v>
      </c>
      <c r="E63" s="11" t="n">
        <v>195</v>
      </c>
      <c r="F63" s="11" t="s">
        <v>194</v>
      </c>
      <c r="G63" s="11" t="s">
        <v>285</v>
      </c>
    </row>
    <row r="64" customFormat="false" ht="33.75" hidden="false" customHeight="true" outlineLevel="0" collapsed="false">
      <c r="A64" s="11" t="s">
        <v>61</v>
      </c>
      <c r="B64" s="11" t="s">
        <v>191</v>
      </c>
      <c r="C64" s="11" t="s">
        <v>304</v>
      </c>
      <c r="D64" s="11" t="s">
        <v>305</v>
      </c>
      <c r="E64" s="11" t="n">
        <v>44</v>
      </c>
      <c r="F64" s="11" t="s">
        <v>194</v>
      </c>
      <c r="G64" s="11" t="s">
        <v>285</v>
      </c>
    </row>
    <row r="65" customFormat="false" ht="33.75" hidden="false" customHeight="true" outlineLevel="0" collapsed="false">
      <c r="A65" s="11" t="s">
        <v>61</v>
      </c>
      <c r="B65" s="11" t="s">
        <v>217</v>
      </c>
      <c r="C65" s="11" t="s">
        <v>306</v>
      </c>
      <c r="D65" s="11" t="s">
        <v>307</v>
      </c>
      <c r="E65" s="11" t="n">
        <v>325</v>
      </c>
      <c r="F65" s="11" t="s">
        <v>194</v>
      </c>
      <c r="G65" s="11" t="s">
        <v>285</v>
      </c>
    </row>
    <row r="66" customFormat="false" ht="33.75" hidden="false" customHeight="true" outlineLevel="0" collapsed="false">
      <c r="A66" s="11" t="s">
        <v>61</v>
      </c>
      <c r="B66" s="11" t="s">
        <v>217</v>
      </c>
      <c r="C66" s="11" t="s">
        <v>308</v>
      </c>
      <c r="D66" s="11" t="s">
        <v>309</v>
      </c>
      <c r="E66" s="11" t="n">
        <v>57</v>
      </c>
      <c r="F66" s="11" t="s">
        <v>194</v>
      </c>
      <c r="G66" s="11" t="s">
        <v>285</v>
      </c>
    </row>
    <row r="67" customFormat="false" ht="33.75" hidden="false" customHeight="true" outlineLevel="0" collapsed="false">
      <c r="A67" s="11" t="s">
        <v>61</v>
      </c>
      <c r="B67" s="11" t="s">
        <v>217</v>
      </c>
      <c r="C67" s="11" t="s">
        <v>220</v>
      </c>
      <c r="D67" s="11" t="s">
        <v>310</v>
      </c>
      <c r="E67" s="11" t="n">
        <v>31</v>
      </c>
      <c r="F67" s="11" t="s">
        <v>194</v>
      </c>
      <c r="G67" s="11" t="s">
        <v>285</v>
      </c>
    </row>
    <row r="68" customFormat="false" ht="33.75" hidden="false" customHeight="true" outlineLevel="0" collapsed="false">
      <c r="A68" s="11" t="s">
        <v>61</v>
      </c>
      <c r="B68" s="11" t="s">
        <v>217</v>
      </c>
      <c r="C68" s="11" t="s">
        <v>311</v>
      </c>
      <c r="D68" s="11" t="s">
        <v>312</v>
      </c>
      <c r="E68" s="11" t="n">
        <v>23</v>
      </c>
      <c r="F68" s="11" t="s">
        <v>194</v>
      </c>
      <c r="G68" s="11" t="s">
        <v>285</v>
      </c>
    </row>
    <row r="69" customFormat="false" ht="33.75" hidden="false" customHeight="true" outlineLevel="0" collapsed="false">
      <c r="A69" s="11" t="s">
        <v>61</v>
      </c>
      <c r="B69" s="11" t="s">
        <v>217</v>
      </c>
      <c r="C69" s="11" t="s">
        <v>273</v>
      </c>
      <c r="D69" s="11" t="s">
        <v>313</v>
      </c>
      <c r="E69" s="11" t="n">
        <v>61</v>
      </c>
      <c r="F69" s="11" t="s">
        <v>194</v>
      </c>
      <c r="G69" s="11" t="s">
        <v>285</v>
      </c>
    </row>
    <row r="70" customFormat="false" ht="33.75" hidden="false" customHeight="true" outlineLevel="0" collapsed="false">
      <c r="A70" s="11" t="s">
        <v>61</v>
      </c>
      <c r="B70" s="11" t="s">
        <v>208</v>
      </c>
      <c r="C70" s="11" t="s">
        <v>211</v>
      </c>
      <c r="D70" s="11" t="s">
        <v>314</v>
      </c>
      <c r="E70" s="11" t="n">
        <v>124</v>
      </c>
      <c r="F70" s="11" t="s">
        <v>194</v>
      </c>
      <c r="G70" s="11" t="s">
        <v>285</v>
      </c>
    </row>
    <row r="71" customFormat="false" ht="33.75" hidden="false" customHeight="true" outlineLevel="0" collapsed="false">
      <c r="A71" s="11" t="s">
        <v>61</v>
      </c>
      <c r="B71" s="11" t="s">
        <v>217</v>
      </c>
      <c r="C71" s="11" t="s">
        <v>227</v>
      </c>
      <c r="D71" s="11" t="s">
        <v>315</v>
      </c>
      <c r="E71" s="11" t="n">
        <v>95</v>
      </c>
      <c r="F71" s="11" t="s">
        <v>194</v>
      </c>
      <c r="G71" s="11" t="s">
        <v>285</v>
      </c>
    </row>
    <row r="72" customFormat="false" ht="33.75" hidden="false" customHeight="true" outlineLevel="0" collapsed="false">
      <c r="A72" s="11" t="s">
        <v>61</v>
      </c>
      <c r="B72" s="11" t="s">
        <v>191</v>
      </c>
      <c r="C72" s="11" t="s">
        <v>316</v>
      </c>
      <c r="D72" s="11" t="s">
        <v>317</v>
      </c>
      <c r="E72" s="11" t="n">
        <v>19</v>
      </c>
      <c r="F72" s="11" t="s">
        <v>194</v>
      </c>
      <c r="G72" s="11" t="s">
        <v>285</v>
      </c>
    </row>
    <row r="73" customFormat="false" ht="33.75" hidden="false" customHeight="true" outlineLevel="0" collapsed="false">
      <c r="A73" s="11" t="s">
        <v>61</v>
      </c>
      <c r="B73" s="11" t="s">
        <v>217</v>
      </c>
      <c r="C73" s="11" t="s">
        <v>318</v>
      </c>
      <c r="D73" s="11" t="s">
        <v>319</v>
      </c>
      <c r="E73" s="11" t="n">
        <v>31</v>
      </c>
      <c r="F73" s="11" t="s">
        <v>194</v>
      </c>
      <c r="G73" s="11" t="s">
        <v>285</v>
      </c>
    </row>
    <row r="74" customFormat="false" ht="33.75" hidden="false" customHeight="true" outlineLevel="0" collapsed="false">
      <c r="A74" s="11" t="s">
        <v>61</v>
      </c>
      <c r="B74" s="11" t="s">
        <v>217</v>
      </c>
      <c r="C74" s="11" t="s">
        <v>320</v>
      </c>
      <c r="D74" s="11" t="s">
        <v>321</v>
      </c>
      <c r="E74" s="11" t="n">
        <v>33</v>
      </c>
      <c r="F74" s="11" t="s">
        <v>194</v>
      </c>
      <c r="G74" s="11" t="s">
        <v>285</v>
      </c>
    </row>
    <row r="75" customFormat="false" ht="33.75" hidden="false" customHeight="true" outlineLevel="0" collapsed="false">
      <c r="A75" s="11" t="s">
        <v>61</v>
      </c>
      <c r="B75" s="11" t="s">
        <v>217</v>
      </c>
      <c r="C75" s="11" t="s">
        <v>231</v>
      </c>
      <c r="D75" s="11" t="s">
        <v>322</v>
      </c>
      <c r="E75" s="11" t="n">
        <v>156</v>
      </c>
      <c r="F75" s="11" t="s">
        <v>194</v>
      </c>
      <c r="G75" s="11" t="s">
        <v>285</v>
      </c>
    </row>
    <row r="76" customFormat="false" ht="33.75" hidden="false" customHeight="true" outlineLevel="0" collapsed="false">
      <c r="A76" s="11" t="s">
        <v>61</v>
      </c>
      <c r="B76" s="11" t="s">
        <v>217</v>
      </c>
      <c r="C76" s="11" t="s">
        <v>323</v>
      </c>
      <c r="D76" s="11" t="s">
        <v>324</v>
      </c>
      <c r="E76" s="11" t="n">
        <v>57</v>
      </c>
      <c r="F76" s="11" t="s">
        <v>194</v>
      </c>
      <c r="G76" s="11" t="s">
        <v>285</v>
      </c>
    </row>
    <row r="77" customFormat="false" ht="33.75" hidden="false" customHeight="true" outlineLevel="0" collapsed="false">
      <c r="A77" s="11" t="s">
        <v>61</v>
      </c>
      <c r="B77" s="11" t="s">
        <v>217</v>
      </c>
      <c r="C77" s="11" t="s">
        <v>325</v>
      </c>
      <c r="D77" s="11" t="s">
        <v>326</v>
      </c>
      <c r="E77" s="11" t="n">
        <v>179</v>
      </c>
      <c r="F77" s="11" t="s">
        <v>194</v>
      </c>
      <c r="G77" s="11" t="s">
        <v>285</v>
      </c>
    </row>
    <row r="78" customFormat="false" ht="33.75" hidden="false" customHeight="true" outlineLevel="0" collapsed="false">
      <c r="A78" s="11" t="s">
        <v>61</v>
      </c>
      <c r="B78" s="11" t="s">
        <v>224</v>
      </c>
      <c r="C78" s="11" t="s">
        <v>327</v>
      </c>
      <c r="D78" s="11" t="s">
        <v>328</v>
      </c>
      <c r="E78" s="11" t="n">
        <v>31</v>
      </c>
      <c r="F78" s="11" t="s">
        <v>194</v>
      </c>
      <c r="G78" s="11" t="s">
        <v>285</v>
      </c>
    </row>
    <row r="79" customFormat="false" ht="33.75" hidden="false" customHeight="true" outlineLevel="0" collapsed="false">
      <c r="A79" s="11" t="s">
        <v>61</v>
      </c>
      <c r="B79" s="11" t="s">
        <v>224</v>
      </c>
      <c r="C79" s="11" t="s">
        <v>329</v>
      </c>
      <c r="D79" s="11" t="s">
        <v>330</v>
      </c>
      <c r="E79" s="11" t="n">
        <v>45</v>
      </c>
      <c r="F79" s="11" t="s">
        <v>194</v>
      </c>
      <c r="G79" s="11" t="s">
        <v>285</v>
      </c>
    </row>
    <row r="80" customFormat="false" ht="33.75" hidden="false" customHeight="true" outlineLevel="0" collapsed="false">
      <c r="A80" s="11" t="s">
        <v>61</v>
      </c>
      <c r="B80" s="11" t="s">
        <v>224</v>
      </c>
      <c r="C80" s="11" t="s">
        <v>331</v>
      </c>
      <c r="D80" s="11" t="s">
        <v>332</v>
      </c>
      <c r="E80" s="11" t="n">
        <v>172</v>
      </c>
      <c r="F80" s="11" t="s">
        <v>194</v>
      </c>
      <c r="G80" s="11" t="s">
        <v>285</v>
      </c>
    </row>
    <row r="81" customFormat="false" ht="33.75" hidden="false" customHeight="true" outlineLevel="0" collapsed="false">
      <c r="A81" s="11" t="s">
        <v>61</v>
      </c>
      <c r="B81" s="11" t="s">
        <v>217</v>
      </c>
      <c r="C81" s="11" t="s">
        <v>333</v>
      </c>
      <c r="D81" s="11" t="s">
        <v>334</v>
      </c>
      <c r="E81" s="11" t="n">
        <v>79</v>
      </c>
      <c r="F81" s="11" t="s">
        <v>194</v>
      </c>
      <c r="G81" s="11" t="s">
        <v>285</v>
      </c>
    </row>
    <row r="82" customFormat="false" ht="33.75" hidden="false" customHeight="true" outlineLevel="0" collapsed="false">
      <c r="A82" s="11" t="s">
        <v>62</v>
      </c>
      <c r="B82" s="11" t="s">
        <v>191</v>
      </c>
      <c r="C82" s="11" t="s">
        <v>335</v>
      </c>
      <c r="D82" s="11" t="s">
        <v>336</v>
      </c>
      <c r="E82" s="11" t="s">
        <v>337</v>
      </c>
      <c r="F82" s="11" t="s">
        <v>194</v>
      </c>
      <c r="G82" s="11" t="s">
        <v>338</v>
      </c>
    </row>
    <row r="83" customFormat="false" ht="33.75" hidden="false" customHeight="true" outlineLevel="0" collapsed="false">
      <c r="A83" s="11" t="s">
        <v>62</v>
      </c>
      <c r="B83" s="11" t="s">
        <v>191</v>
      </c>
      <c r="C83" s="11" t="s">
        <v>339</v>
      </c>
      <c r="D83" s="11" t="s">
        <v>340</v>
      </c>
      <c r="E83" s="11" t="s">
        <v>337</v>
      </c>
      <c r="F83" s="11" t="s">
        <v>194</v>
      </c>
      <c r="G83" s="11" t="s">
        <v>338</v>
      </c>
    </row>
    <row r="84" customFormat="false" ht="33.75" hidden="false" customHeight="true" outlineLevel="0" collapsed="false">
      <c r="A84" s="11" t="s">
        <v>62</v>
      </c>
      <c r="B84" s="11" t="s">
        <v>191</v>
      </c>
      <c r="C84" s="11" t="s">
        <v>341</v>
      </c>
      <c r="D84" s="11" t="s">
        <v>342</v>
      </c>
      <c r="E84" s="11" t="s">
        <v>337</v>
      </c>
      <c r="F84" s="11" t="s">
        <v>194</v>
      </c>
      <c r="G84" s="11" t="s">
        <v>338</v>
      </c>
    </row>
    <row r="85" customFormat="false" ht="33.75" hidden="false" customHeight="true" outlineLevel="0" collapsed="false">
      <c r="A85" s="11" t="s">
        <v>62</v>
      </c>
      <c r="B85" s="11" t="s">
        <v>217</v>
      </c>
      <c r="C85" s="11" t="s">
        <v>343</v>
      </c>
      <c r="D85" s="11" t="s">
        <v>344</v>
      </c>
      <c r="E85" s="11" t="s">
        <v>337</v>
      </c>
      <c r="F85" s="11" t="s">
        <v>194</v>
      </c>
      <c r="G85" s="11" t="s">
        <v>338</v>
      </c>
    </row>
    <row r="86" customFormat="false" ht="33.75" hidden="false" customHeight="true" outlineLevel="0" collapsed="false">
      <c r="A86" s="11" t="s">
        <v>62</v>
      </c>
      <c r="B86" s="11" t="s">
        <v>208</v>
      </c>
      <c r="C86" s="11" t="s">
        <v>345</v>
      </c>
      <c r="D86" s="11" t="s">
        <v>346</v>
      </c>
      <c r="E86" s="11" t="s">
        <v>337</v>
      </c>
      <c r="F86" s="11" t="s">
        <v>194</v>
      </c>
      <c r="G86" s="11" t="s">
        <v>338</v>
      </c>
    </row>
    <row r="87" customFormat="false" ht="33.75" hidden="false" customHeight="true" outlineLevel="0" collapsed="false">
      <c r="A87" s="11" t="s">
        <v>62</v>
      </c>
      <c r="B87" s="11" t="s">
        <v>208</v>
      </c>
      <c r="C87" s="11" t="s">
        <v>347</v>
      </c>
      <c r="D87" s="11" t="s">
        <v>348</v>
      </c>
      <c r="E87" s="11" t="s">
        <v>337</v>
      </c>
      <c r="F87" s="11" t="s">
        <v>194</v>
      </c>
      <c r="G87" s="11" t="s">
        <v>338</v>
      </c>
    </row>
    <row r="88" customFormat="false" ht="33.75" hidden="false" customHeight="true" outlineLevel="0" collapsed="false">
      <c r="A88" s="11" t="s">
        <v>62</v>
      </c>
      <c r="B88" s="11" t="s">
        <v>224</v>
      </c>
      <c r="C88" s="11" t="s">
        <v>349</v>
      </c>
      <c r="D88" s="11" t="s">
        <v>350</v>
      </c>
      <c r="E88" s="11" t="s">
        <v>337</v>
      </c>
      <c r="F88" s="11" t="s">
        <v>194</v>
      </c>
      <c r="G88" s="11" t="s">
        <v>338</v>
      </c>
    </row>
    <row r="89" customFormat="false" ht="33.75" hidden="false" customHeight="true" outlineLevel="0" collapsed="false">
      <c r="A89" s="11" t="s">
        <v>62</v>
      </c>
      <c r="B89" s="11" t="s">
        <v>217</v>
      </c>
      <c r="C89" s="11" t="s">
        <v>351</v>
      </c>
      <c r="D89" s="11" t="s">
        <v>352</v>
      </c>
      <c r="E89" s="11" t="s">
        <v>337</v>
      </c>
      <c r="F89" s="11" t="s">
        <v>194</v>
      </c>
      <c r="G89" s="11" t="s">
        <v>338</v>
      </c>
    </row>
    <row r="90" customFormat="false" ht="33.75" hidden="false" customHeight="true" outlineLevel="0" collapsed="false">
      <c r="A90" s="11" t="s">
        <v>62</v>
      </c>
      <c r="B90" s="11" t="s">
        <v>217</v>
      </c>
      <c r="C90" s="11" t="s">
        <v>353</v>
      </c>
      <c r="D90" s="11" t="s">
        <v>354</v>
      </c>
      <c r="E90" s="11" t="s">
        <v>337</v>
      </c>
      <c r="F90" s="11" t="s">
        <v>194</v>
      </c>
      <c r="G90" s="11" t="s">
        <v>338</v>
      </c>
    </row>
    <row r="91" customFormat="false" ht="33.75" hidden="false" customHeight="true" outlineLevel="0" collapsed="false">
      <c r="A91" s="11" t="s">
        <v>62</v>
      </c>
      <c r="B91" s="11" t="s">
        <v>217</v>
      </c>
      <c r="C91" s="11" t="s">
        <v>355</v>
      </c>
      <c r="D91" s="11" t="s">
        <v>356</v>
      </c>
      <c r="E91" s="11" t="s">
        <v>337</v>
      </c>
      <c r="F91" s="11" t="s">
        <v>194</v>
      </c>
      <c r="G91" s="11" t="s">
        <v>338</v>
      </c>
    </row>
    <row r="92" customFormat="false" ht="33.75" hidden="false" customHeight="true" outlineLevel="0" collapsed="false">
      <c r="A92" s="11" t="s">
        <v>62</v>
      </c>
      <c r="B92" s="11" t="s">
        <v>217</v>
      </c>
      <c r="C92" s="11" t="s">
        <v>357</v>
      </c>
      <c r="D92" s="11" t="s">
        <v>358</v>
      </c>
      <c r="E92" s="11" t="s">
        <v>337</v>
      </c>
      <c r="F92" s="11" t="s">
        <v>194</v>
      </c>
      <c r="G92" s="11" t="s">
        <v>338</v>
      </c>
    </row>
    <row r="93" customFormat="false" ht="33.75" hidden="false" customHeight="true" outlineLevel="0" collapsed="false">
      <c r="A93" s="11" t="s">
        <v>62</v>
      </c>
      <c r="B93" s="11" t="s">
        <v>217</v>
      </c>
      <c r="C93" s="11" t="s">
        <v>359</v>
      </c>
      <c r="D93" s="11" t="s">
        <v>360</v>
      </c>
      <c r="E93" s="11" t="s">
        <v>337</v>
      </c>
      <c r="F93" s="11" t="s">
        <v>194</v>
      </c>
      <c r="G93" s="11" t="s">
        <v>338</v>
      </c>
    </row>
  </sheetData>
  <autoFilter ref="A5:G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54"/>
    <col collapsed="false" customWidth="true" hidden="false" outlineLevel="0" max="7" min="6" style="0" width="50"/>
    <col collapsed="false" customWidth="true" hidden="false" outlineLevel="0" max="8" min="8" style="0" width="70"/>
  </cols>
  <sheetData>
    <row r="2" customFormat="false" ht="19.7" hidden="false" customHeight="false" outlineLevel="0" collapsed="false">
      <c r="A2" s="1" t="s">
        <v>361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362</v>
      </c>
    </row>
    <row r="5" customFormat="false" ht="33.75" hidden="false" customHeight="true" outlineLevel="0" collapsed="false">
      <c r="A5" s="4" t="s">
        <v>141</v>
      </c>
      <c r="B5" s="4" t="s">
        <v>57</v>
      </c>
      <c r="C5" s="4" t="s">
        <v>363</v>
      </c>
      <c r="D5" s="4" t="s">
        <v>364</v>
      </c>
      <c r="E5" s="4" t="s">
        <v>365</v>
      </c>
      <c r="F5" s="4" t="s">
        <v>366</v>
      </c>
      <c r="G5" s="4" t="s">
        <v>367</v>
      </c>
      <c r="H5" s="4" t="s">
        <v>190</v>
      </c>
    </row>
    <row r="6" customFormat="false" ht="72" hidden="false" customHeight="true" outlineLevel="0" collapsed="false">
      <c r="A6" s="11" t="s">
        <v>59</v>
      </c>
      <c r="B6" s="11" t="s">
        <v>368</v>
      </c>
      <c r="C6" s="11" t="s">
        <v>369</v>
      </c>
      <c r="D6" s="11" t="s">
        <v>370</v>
      </c>
      <c r="E6" s="11" t="s">
        <v>371</v>
      </c>
      <c r="F6" s="11" t="s">
        <v>372</v>
      </c>
      <c r="G6" s="11" t="s">
        <v>373</v>
      </c>
      <c r="H6" s="11" t="s">
        <v>195</v>
      </c>
    </row>
    <row r="7" customFormat="false" ht="72" hidden="false" customHeight="true" outlineLevel="0" collapsed="false">
      <c r="A7" s="11" t="s">
        <v>59</v>
      </c>
      <c r="B7" s="11" t="s">
        <v>374</v>
      </c>
      <c r="C7" s="11" t="s">
        <v>375</v>
      </c>
      <c r="D7" s="11" t="s">
        <v>376</v>
      </c>
      <c r="E7" s="11" t="s">
        <v>377</v>
      </c>
      <c r="F7" s="11" t="s">
        <v>378</v>
      </c>
      <c r="G7" s="11" t="s">
        <v>379</v>
      </c>
      <c r="H7" s="11" t="s">
        <v>195</v>
      </c>
    </row>
    <row r="8" customFormat="false" ht="72" hidden="false" customHeight="true" outlineLevel="0" collapsed="false">
      <c r="A8" s="11" t="s">
        <v>59</v>
      </c>
      <c r="B8" s="11" t="s">
        <v>380</v>
      </c>
      <c r="C8" s="11" t="s">
        <v>381</v>
      </c>
      <c r="D8" s="11" t="s">
        <v>382</v>
      </c>
      <c r="E8" s="11" t="s">
        <v>383</v>
      </c>
      <c r="F8" s="11" t="s">
        <v>384</v>
      </c>
      <c r="G8" s="11" t="s">
        <v>385</v>
      </c>
      <c r="H8" s="11" t="s">
        <v>195</v>
      </c>
    </row>
    <row r="9" customFormat="false" ht="72" hidden="false" customHeight="true" outlineLevel="0" collapsed="false">
      <c r="A9" s="11" t="s">
        <v>59</v>
      </c>
      <c r="B9" s="11" t="s">
        <v>386</v>
      </c>
      <c r="C9" s="11" t="s">
        <v>387</v>
      </c>
      <c r="D9" s="11" t="s">
        <v>388</v>
      </c>
      <c r="E9" s="11" t="s">
        <v>389</v>
      </c>
      <c r="F9" s="11" t="s">
        <v>390</v>
      </c>
      <c r="G9" s="11" t="s">
        <v>391</v>
      </c>
      <c r="H9" s="11" t="s">
        <v>195</v>
      </c>
    </row>
    <row r="10" customFormat="false" ht="72" hidden="false" customHeight="true" outlineLevel="0" collapsed="false">
      <c r="A10" s="11" t="s">
        <v>59</v>
      </c>
      <c r="B10" s="11" t="s">
        <v>392</v>
      </c>
      <c r="C10" s="11" t="s">
        <v>393</v>
      </c>
      <c r="D10" s="11" t="s">
        <v>394</v>
      </c>
      <c r="E10" s="11" t="s">
        <v>395</v>
      </c>
      <c r="F10" s="11" t="s">
        <v>396</v>
      </c>
      <c r="G10" s="11" t="s">
        <v>397</v>
      </c>
      <c r="H10" s="11" t="s">
        <v>195</v>
      </c>
    </row>
    <row r="11" customFormat="false" ht="72" hidden="false" customHeight="true" outlineLevel="0" collapsed="false">
      <c r="A11" s="11" t="s">
        <v>60</v>
      </c>
      <c r="B11" s="11" t="s">
        <v>398</v>
      </c>
      <c r="C11" s="11" t="s">
        <v>399</v>
      </c>
      <c r="D11" s="11" t="s">
        <v>400</v>
      </c>
      <c r="E11" s="11" t="s">
        <v>401</v>
      </c>
      <c r="F11" s="11" t="s">
        <v>402</v>
      </c>
      <c r="G11" s="11" t="s">
        <v>403</v>
      </c>
      <c r="H11" s="11" t="s">
        <v>246</v>
      </c>
    </row>
    <row r="12" customFormat="false" ht="72" hidden="false" customHeight="true" outlineLevel="0" collapsed="false">
      <c r="A12" s="11" t="s">
        <v>60</v>
      </c>
      <c r="B12" s="11" t="s">
        <v>198</v>
      </c>
      <c r="C12" s="11" t="s">
        <v>404</v>
      </c>
      <c r="D12" s="11" t="s">
        <v>405</v>
      </c>
      <c r="E12" s="11" t="s">
        <v>406</v>
      </c>
      <c r="F12" s="11" t="s">
        <v>407</v>
      </c>
      <c r="G12" s="11" t="s">
        <v>408</v>
      </c>
      <c r="H12" s="11" t="s">
        <v>246</v>
      </c>
    </row>
    <row r="13" customFormat="false" ht="72" hidden="false" customHeight="true" outlineLevel="0" collapsed="false">
      <c r="A13" s="11" t="s">
        <v>60</v>
      </c>
      <c r="B13" s="11" t="s">
        <v>409</v>
      </c>
      <c r="C13" s="11" t="s">
        <v>410</v>
      </c>
      <c r="D13" s="11" t="s">
        <v>411</v>
      </c>
      <c r="E13" s="11" t="s">
        <v>412</v>
      </c>
      <c r="F13" s="11" t="s">
        <v>413</v>
      </c>
      <c r="G13" s="11" t="s">
        <v>414</v>
      </c>
      <c r="H13" s="11" t="s">
        <v>246</v>
      </c>
    </row>
    <row r="14" customFormat="false" ht="72" hidden="false" customHeight="true" outlineLevel="0" collapsed="false">
      <c r="A14" s="11" t="s">
        <v>60</v>
      </c>
      <c r="B14" s="11" t="s">
        <v>415</v>
      </c>
      <c r="C14" s="11" t="s">
        <v>399</v>
      </c>
      <c r="D14" s="11" t="s">
        <v>416</v>
      </c>
      <c r="E14" s="11" t="s">
        <v>417</v>
      </c>
      <c r="F14" s="11" t="s">
        <v>418</v>
      </c>
      <c r="G14" s="11" t="s">
        <v>419</v>
      </c>
      <c r="H14" s="11" t="s">
        <v>246</v>
      </c>
    </row>
    <row r="15" customFormat="false" ht="72" hidden="false" customHeight="true" outlineLevel="0" collapsed="false">
      <c r="A15" s="11" t="s">
        <v>60</v>
      </c>
      <c r="B15" s="11" t="s">
        <v>420</v>
      </c>
      <c r="C15" s="11" t="s">
        <v>393</v>
      </c>
      <c r="D15" s="11" t="s">
        <v>421</v>
      </c>
      <c r="E15" s="11" t="s">
        <v>422</v>
      </c>
      <c r="F15" s="11" t="s">
        <v>423</v>
      </c>
      <c r="G15" s="11" t="s">
        <v>424</v>
      </c>
      <c r="H15" s="11" t="s">
        <v>246</v>
      </c>
    </row>
    <row r="16" customFormat="false" ht="72" hidden="false" customHeight="true" outlineLevel="0" collapsed="false">
      <c r="A16" s="11" t="s">
        <v>60</v>
      </c>
      <c r="B16" s="11" t="s">
        <v>425</v>
      </c>
      <c r="C16" s="11" t="s">
        <v>399</v>
      </c>
      <c r="D16" s="11" t="s">
        <v>426</v>
      </c>
      <c r="E16" s="11" t="s">
        <v>427</v>
      </c>
      <c r="F16" s="11" t="s">
        <v>428</v>
      </c>
      <c r="G16" s="11" t="s">
        <v>429</v>
      </c>
      <c r="H16" s="11" t="s">
        <v>246</v>
      </c>
    </row>
    <row r="17" customFormat="false" ht="72" hidden="false" customHeight="true" outlineLevel="0" collapsed="false">
      <c r="A17" s="11" t="s">
        <v>61</v>
      </c>
      <c r="B17" s="11" t="s">
        <v>430</v>
      </c>
      <c r="C17" s="11" t="s">
        <v>393</v>
      </c>
      <c r="D17" s="11" t="s">
        <v>431</v>
      </c>
      <c r="E17" s="11" t="s">
        <v>432</v>
      </c>
      <c r="F17" s="11" t="s">
        <v>433</v>
      </c>
      <c r="G17" s="11" t="s">
        <v>434</v>
      </c>
      <c r="H17" s="11" t="s">
        <v>285</v>
      </c>
    </row>
    <row r="18" customFormat="false" ht="72" hidden="false" customHeight="true" outlineLevel="0" collapsed="false">
      <c r="A18" s="11" t="s">
        <v>61</v>
      </c>
      <c r="B18" s="11" t="s">
        <v>435</v>
      </c>
      <c r="C18" s="11" t="s">
        <v>369</v>
      </c>
      <c r="D18" s="11" t="s">
        <v>436</v>
      </c>
      <c r="E18" s="11" t="s">
        <v>437</v>
      </c>
      <c r="F18" s="11" t="s">
        <v>438</v>
      </c>
      <c r="G18" s="11" t="s">
        <v>439</v>
      </c>
      <c r="H18" s="11" t="s">
        <v>285</v>
      </c>
    </row>
    <row r="19" customFormat="false" ht="72" hidden="false" customHeight="true" outlineLevel="0" collapsed="false">
      <c r="A19" s="11" t="s">
        <v>61</v>
      </c>
      <c r="B19" s="11" t="s">
        <v>440</v>
      </c>
      <c r="C19" s="11" t="s">
        <v>441</v>
      </c>
      <c r="D19" s="11" t="s">
        <v>442</v>
      </c>
      <c r="E19" s="11" t="s">
        <v>443</v>
      </c>
      <c r="F19" s="11" t="s">
        <v>444</v>
      </c>
      <c r="G19" s="11" t="s">
        <v>445</v>
      </c>
      <c r="H19" s="11" t="s">
        <v>285</v>
      </c>
    </row>
    <row r="20" customFormat="false" ht="72" hidden="false" customHeight="true" outlineLevel="0" collapsed="false">
      <c r="A20" s="11" t="s">
        <v>61</v>
      </c>
      <c r="B20" s="11" t="s">
        <v>291</v>
      </c>
      <c r="C20" s="11" t="s">
        <v>446</v>
      </c>
      <c r="D20" s="11" t="s">
        <v>447</v>
      </c>
      <c r="E20" s="11" t="s">
        <v>448</v>
      </c>
      <c r="F20" s="11" t="s">
        <v>449</v>
      </c>
      <c r="G20" s="11" t="s">
        <v>450</v>
      </c>
      <c r="H20" s="11" t="s">
        <v>285</v>
      </c>
    </row>
    <row r="21" customFormat="false" ht="72" hidden="false" customHeight="true" outlineLevel="0" collapsed="false">
      <c r="A21" s="11" t="s">
        <v>61</v>
      </c>
      <c r="B21" s="11" t="s">
        <v>202</v>
      </c>
      <c r="C21" s="11" t="s">
        <v>375</v>
      </c>
      <c r="D21" s="11" t="s">
        <v>451</v>
      </c>
      <c r="E21" s="11" t="s">
        <v>452</v>
      </c>
      <c r="F21" s="11" t="s">
        <v>453</v>
      </c>
      <c r="G21" s="11" t="s">
        <v>454</v>
      </c>
      <c r="H21" s="11" t="s">
        <v>285</v>
      </c>
    </row>
    <row r="22" customFormat="false" ht="72" hidden="false" customHeight="true" outlineLevel="0" collapsed="false">
      <c r="A22" s="11" t="s">
        <v>61</v>
      </c>
      <c r="B22" s="11" t="s">
        <v>455</v>
      </c>
      <c r="C22" s="11" t="s">
        <v>456</v>
      </c>
      <c r="D22" s="11" t="s">
        <v>457</v>
      </c>
      <c r="E22" s="11" t="s">
        <v>458</v>
      </c>
      <c r="F22" s="11" t="s">
        <v>459</v>
      </c>
      <c r="G22" s="11" t="s">
        <v>460</v>
      </c>
      <c r="H22" s="11" t="s">
        <v>285</v>
      </c>
    </row>
    <row r="23" customFormat="false" ht="72" hidden="false" customHeight="true" outlineLevel="0" collapsed="false">
      <c r="A23" s="11" t="s">
        <v>61</v>
      </c>
      <c r="B23" s="11" t="s">
        <v>461</v>
      </c>
      <c r="C23" s="11" t="s">
        <v>369</v>
      </c>
      <c r="D23" s="11" t="s">
        <v>462</v>
      </c>
      <c r="E23" s="11" t="s">
        <v>463</v>
      </c>
      <c r="F23" s="11" t="s">
        <v>464</v>
      </c>
      <c r="G23" s="11" t="s">
        <v>465</v>
      </c>
      <c r="H23" s="11" t="s">
        <v>285</v>
      </c>
    </row>
    <row r="24" customFormat="false" ht="72" hidden="false" customHeight="true" outlineLevel="0" collapsed="false">
      <c r="A24" s="11" t="s">
        <v>61</v>
      </c>
      <c r="B24" s="11" t="s">
        <v>466</v>
      </c>
      <c r="C24" s="11" t="s">
        <v>399</v>
      </c>
      <c r="D24" s="11" t="s">
        <v>467</v>
      </c>
      <c r="E24" s="11" t="s">
        <v>468</v>
      </c>
      <c r="F24" s="11" t="s">
        <v>469</v>
      </c>
      <c r="G24" s="11" t="s">
        <v>470</v>
      </c>
      <c r="H24" s="11" t="s">
        <v>285</v>
      </c>
    </row>
    <row r="25" customFormat="false" ht="72" hidden="false" customHeight="true" outlineLevel="0" collapsed="false">
      <c r="A25" s="11" t="s">
        <v>62</v>
      </c>
      <c r="B25" s="11" t="s">
        <v>471</v>
      </c>
      <c r="C25" s="11" t="s">
        <v>141</v>
      </c>
      <c r="D25" s="11" t="s">
        <v>472</v>
      </c>
      <c r="E25" s="11" t="s">
        <v>473</v>
      </c>
      <c r="F25" s="11" t="s">
        <v>474</v>
      </c>
      <c r="G25" s="11" t="s">
        <v>475</v>
      </c>
      <c r="H25" s="11" t="s">
        <v>338</v>
      </c>
    </row>
    <row r="26" customFormat="false" ht="72" hidden="false" customHeight="true" outlineLevel="0" collapsed="false">
      <c r="A26" s="11" t="s">
        <v>62</v>
      </c>
      <c r="B26" s="11" t="s">
        <v>476</v>
      </c>
      <c r="C26" s="11" t="s">
        <v>141</v>
      </c>
      <c r="D26" s="11" t="s">
        <v>477</v>
      </c>
      <c r="E26" s="11" t="s">
        <v>478</v>
      </c>
      <c r="F26" s="11" t="s">
        <v>479</v>
      </c>
      <c r="G26" s="11" t="s">
        <v>480</v>
      </c>
      <c r="H26" s="11" t="s">
        <v>338</v>
      </c>
    </row>
    <row r="27" customFormat="false" ht="72" hidden="false" customHeight="true" outlineLevel="0" collapsed="false">
      <c r="A27" s="11" t="s">
        <v>62</v>
      </c>
      <c r="B27" s="11" t="s">
        <v>481</v>
      </c>
      <c r="C27" s="11" t="s">
        <v>141</v>
      </c>
      <c r="D27" s="11" t="s">
        <v>482</v>
      </c>
      <c r="E27" s="11" t="s">
        <v>483</v>
      </c>
      <c r="F27" s="11" t="s">
        <v>484</v>
      </c>
      <c r="G27" s="11" t="s">
        <v>485</v>
      </c>
      <c r="H27" s="11" t="s">
        <v>338</v>
      </c>
    </row>
    <row r="28" customFormat="false" ht="72" hidden="false" customHeight="true" outlineLevel="0" collapsed="false">
      <c r="A28" s="11" t="s">
        <v>62</v>
      </c>
      <c r="B28" s="11" t="s">
        <v>486</v>
      </c>
      <c r="C28" s="11" t="s">
        <v>141</v>
      </c>
      <c r="D28" s="11" t="s">
        <v>487</v>
      </c>
      <c r="E28" s="11" t="s">
        <v>488</v>
      </c>
      <c r="F28" s="11" t="s">
        <v>489</v>
      </c>
      <c r="G28" s="11" t="s">
        <v>490</v>
      </c>
      <c r="H28" s="11" t="s">
        <v>338</v>
      </c>
    </row>
    <row r="29" customFormat="false" ht="72" hidden="false" customHeight="true" outlineLevel="0" collapsed="false">
      <c r="A29" s="11" t="s">
        <v>62</v>
      </c>
      <c r="B29" s="11" t="s">
        <v>491</v>
      </c>
      <c r="C29" s="11" t="s">
        <v>141</v>
      </c>
      <c r="D29" s="11" t="s">
        <v>492</v>
      </c>
      <c r="E29" s="11" t="s">
        <v>493</v>
      </c>
      <c r="F29" s="11" t="s">
        <v>494</v>
      </c>
      <c r="G29" s="11" t="s">
        <v>495</v>
      </c>
      <c r="H29" s="11" t="s">
        <v>338</v>
      </c>
    </row>
    <row r="30" customFormat="false" ht="72" hidden="false" customHeight="true" outlineLevel="0" collapsed="false">
      <c r="A30" s="11" t="s">
        <v>62</v>
      </c>
      <c r="B30" s="11" t="s">
        <v>496</v>
      </c>
      <c r="C30" s="11" t="s">
        <v>141</v>
      </c>
      <c r="D30" s="11" t="s">
        <v>497</v>
      </c>
      <c r="E30" s="11" t="s">
        <v>498</v>
      </c>
      <c r="F30" s="11" t="s">
        <v>499</v>
      </c>
      <c r="G30" s="11" t="s">
        <v>500</v>
      </c>
      <c r="H30" s="11" t="s">
        <v>338</v>
      </c>
    </row>
    <row r="31" customFormat="false" ht="72" hidden="false" customHeight="true" outlineLevel="0" collapsed="false">
      <c r="A31" s="11" t="s">
        <v>62</v>
      </c>
      <c r="B31" s="11" t="s">
        <v>501</v>
      </c>
      <c r="C31" s="11" t="s">
        <v>141</v>
      </c>
      <c r="D31" s="11" t="s">
        <v>502</v>
      </c>
      <c r="E31" s="11" t="s">
        <v>503</v>
      </c>
      <c r="F31" s="11" t="s">
        <v>504</v>
      </c>
      <c r="G31" s="11" t="s">
        <v>505</v>
      </c>
      <c r="H31" s="11" t="s">
        <v>338</v>
      </c>
    </row>
    <row r="32" customFormat="false" ht="72" hidden="false" customHeight="true" outlineLevel="0" collapsed="false">
      <c r="A32" s="11" t="s">
        <v>62</v>
      </c>
      <c r="B32" s="11" t="s">
        <v>506</v>
      </c>
      <c r="C32" s="11" t="s">
        <v>141</v>
      </c>
      <c r="D32" s="11" t="s">
        <v>507</v>
      </c>
      <c r="E32" s="11" t="s">
        <v>508</v>
      </c>
      <c r="F32" s="11" t="s">
        <v>509</v>
      </c>
      <c r="G32" s="11" t="s">
        <v>510</v>
      </c>
      <c r="H32" s="11" t="s">
        <v>338</v>
      </c>
    </row>
    <row r="33" customFormat="false" ht="72" hidden="false" customHeight="true" outlineLevel="0" collapsed="false">
      <c r="A33" s="11" t="s">
        <v>59</v>
      </c>
      <c r="B33" s="11" t="s">
        <v>511</v>
      </c>
      <c r="C33" s="11" t="s">
        <v>399</v>
      </c>
      <c r="D33" s="11" t="s">
        <v>512</v>
      </c>
      <c r="E33" s="11" t="s">
        <v>513</v>
      </c>
      <c r="F33" s="11" t="s">
        <v>514</v>
      </c>
      <c r="G33" s="11" t="s">
        <v>515</v>
      </c>
      <c r="H33" s="11" t="s">
        <v>195</v>
      </c>
    </row>
    <row r="34" customFormat="false" ht="72" hidden="false" customHeight="true" outlineLevel="0" collapsed="false">
      <c r="A34" s="11" t="s">
        <v>59</v>
      </c>
      <c r="B34" s="11" t="s">
        <v>511</v>
      </c>
      <c r="C34" s="11" t="s">
        <v>393</v>
      </c>
      <c r="D34" s="11" t="s">
        <v>516</v>
      </c>
      <c r="E34" s="11" t="s">
        <v>517</v>
      </c>
      <c r="F34" s="11" t="s">
        <v>518</v>
      </c>
      <c r="G34" s="11" t="s">
        <v>519</v>
      </c>
      <c r="H34" s="11" t="s">
        <v>195</v>
      </c>
    </row>
    <row r="35" customFormat="false" ht="72" hidden="false" customHeight="true" outlineLevel="0" collapsed="false">
      <c r="A35" s="11" t="s">
        <v>59</v>
      </c>
      <c r="B35" s="11" t="s">
        <v>520</v>
      </c>
      <c r="C35" s="11" t="s">
        <v>456</v>
      </c>
      <c r="D35" s="11" t="s">
        <v>521</v>
      </c>
      <c r="E35" s="11" t="s">
        <v>522</v>
      </c>
      <c r="F35" s="11" t="s">
        <v>523</v>
      </c>
      <c r="G35" s="11" t="s">
        <v>524</v>
      </c>
      <c r="H35" s="11" t="s">
        <v>195</v>
      </c>
    </row>
    <row r="36" customFormat="false" ht="72" hidden="false" customHeight="true" outlineLevel="0" collapsed="false">
      <c r="A36" s="11" t="s">
        <v>59</v>
      </c>
      <c r="B36" s="11" t="s">
        <v>525</v>
      </c>
      <c r="C36" s="11" t="s">
        <v>526</v>
      </c>
      <c r="D36" s="11" t="s">
        <v>527</v>
      </c>
      <c r="E36" s="11" t="s">
        <v>528</v>
      </c>
      <c r="F36" s="11" t="s">
        <v>529</v>
      </c>
      <c r="G36" s="11" t="s">
        <v>530</v>
      </c>
      <c r="H36" s="11" t="s">
        <v>195</v>
      </c>
    </row>
    <row r="37" customFormat="false" ht="72" hidden="false" customHeight="true" outlineLevel="0" collapsed="false">
      <c r="A37" s="11" t="s">
        <v>59</v>
      </c>
      <c r="B37" s="11" t="s">
        <v>531</v>
      </c>
      <c r="C37" s="11" t="s">
        <v>369</v>
      </c>
      <c r="D37" s="11" t="s">
        <v>532</v>
      </c>
      <c r="E37" s="11" t="s">
        <v>533</v>
      </c>
      <c r="F37" s="11" t="s">
        <v>534</v>
      </c>
      <c r="G37" s="11" t="s">
        <v>535</v>
      </c>
      <c r="H37" s="11" t="s">
        <v>195</v>
      </c>
    </row>
    <row r="38" customFormat="false" ht="72" hidden="false" customHeight="true" outlineLevel="0" collapsed="false">
      <c r="A38" s="11" t="s">
        <v>59</v>
      </c>
      <c r="B38" s="11" t="s">
        <v>536</v>
      </c>
      <c r="C38" s="11" t="s">
        <v>141</v>
      </c>
      <c r="D38" s="11" t="s">
        <v>537</v>
      </c>
      <c r="E38" s="11" t="s">
        <v>538</v>
      </c>
      <c r="F38" s="11" t="s">
        <v>539</v>
      </c>
      <c r="G38" s="11" t="s">
        <v>540</v>
      </c>
      <c r="H38" s="11" t="s">
        <v>195</v>
      </c>
    </row>
    <row r="39" customFormat="false" ht="72" hidden="false" customHeight="true" outlineLevel="0" collapsed="false">
      <c r="A39" s="11" t="s">
        <v>59</v>
      </c>
      <c r="B39" s="11" t="s">
        <v>541</v>
      </c>
      <c r="C39" s="11" t="s">
        <v>381</v>
      </c>
      <c r="D39" s="11" t="s">
        <v>542</v>
      </c>
      <c r="E39" s="11" t="s">
        <v>543</v>
      </c>
      <c r="F39" s="11" t="s">
        <v>544</v>
      </c>
      <c r="G39" s="11" t="s">
        <v>545</v>
      </c>
      <c r="H39" s="11" t="s">
        <v>195</v>
      </c>
    </row>
    <row r="40" customFormat="false" ht="72" hidden="false" customHeight="true" outlineLevel="0" collapsed="false">
      <c r="A40" s="11" t="s">
        <v>59</v>
      </c>
      <c r="B40" s="11" t="s">
        <v>546</v>
      </c>
      <c r="C40" s="11" t="s">
        <v>141</v>
      </c>
      <c r="D40" s="11" t="s">
        <v>547</v>
      </c>
      <c r="E40" s="11" t="s">
        <v>548</v>
      </c>
      <c r="F40" s="11" t="s">
        <v>549</v>
      </c>
      <c r="G40" s="11" t="s">
        <v>550</v>
      </c>
      <c r="H40" s="11" t="s">
        <v>195</v>
      </c>
    </row>
    <row r="41" customFormat="false" ht="72" hidden="false" customHeight="true" outlineLevel="0" collapsed="false">
      <c r="A41" s="11" t="s">
        <v>60</v>
      </c>
      <c r="B41" s="11" t="s">
        <v>511</v>
      </c>
      <c r="C41" s="11" t="s">
        <v>551</v>
      </c>
      <c r="D41" s="11" t="s">
        <v>552</v>
      </c>
      <c r="E41" s="11" t="s">
        <v>553</v>
      </c>
      <c r="F41" s="11" t="s">
        <v>554</v>
      </c>
      <c r="G41" s="11" t="s">
        <v>555</v>
      </c>
      <c r="H41" s="11" t="s">
        <v>246</v>
      </c>
    </row>
    <row r="42" customFormat="false" ht="72" hidden="false" customHeight="true" outlineLevel="0" collapsed="false">
      <c r="A42" s="11" t="s">
        <v>60</v>
      </c>
      <c r="B42" s="11" t="s">
        <v>531</v>
      </c>
      <c r="C42" s="11" t="s">
        <v>381</v>
      </c>
      <c r="D42" s="11" t="s">
        <v>556</v>
      </c>
      <c r="E42" s="11" t="s">
        <v>557</v>
      </c>
      <c r="F42" s="11" t="s">
        <v>558</v>
      </c>
      <c r="G42" s="11" t="s">
        <v>559</v>
      </c>
      <c r="H42" s="11" t="s">
        <v>246</v>
      </c>
    </row>
    <row r="43" customFormat="false" ht="72" hidden="false" customHeight="true" outlineLevel="0" collapsed="false">
      <c r="A43" s="11" t="s">
        <v>60</v>
      </c>
      <c r="B43" s="11" t="s">
        <v>525</v>
      </c>
      <c r="C43" s="11" t="s">
        <v>560</v>
      </c>
      <c r="D43" s="11" t="s">
        <v>561</v>
      </c>
      <c r="E43" s="11" t="s">
        <v>562</v>
      </c>
      <c r="F43" s="11" t="s">
        <v>563</v>
      </c>
      <c r="G43" s="11" t="s">
        <v>564</v>
      </c>
      <c r="H43" s="11" t="s">
        <v>246</v>
      </c>
    </row>
    <row r="44" customFormat="false" ht="72" hidden="false" customHeight="true" outlineLevel="0" collapsed="false">
      <c r="A44" s="11" t="s">
        <v>60</v>
      </c>
      <c r="B44" s="11" t="s">
        <v>565</v>
      </c>
      <c r="C44" s="11" t="s">
        <v>456</v>
      </c>
      <c r="D44" s="11" t="s">
        <v>566</v>
      </c>
      <c r="E44" s="11" t="s">
        <v>567</v>
      </c>
      <c r="F44" s="11" t="s">
        <v>568</v>
      </c>
      <c r="G44" s="11" t="s">
        <v>569</v>
      </c>
      <c r="H44" s="11" t="s">
        <v>246</v>
      </c>
    </row>
    <row r="45" customFormat="false" ht="72" hidden="false" customHeight="true" outlineLevel="0" collapsed="false">
      <c r="A45" s="11" t="s">
        <v>60</v>
      </c>
      <c r="B45" s="11" t="s">
        <v>570</v>
      </c>
      <c r="C45" s="11" t="s">
        <v>571</v>
      </c>
      <c r="D45" s="11" t="s">
        <v>572</v>
      </c>
      <c r="E45" s="11" t="s">
        <v>573</v>
      </c>
      <c r="F45" s="11" t="s">
        <v>574</v>
      </c>
      <c r="G45" s="11" t="s">
        <v>575</v>
      </c>
      <c r="H45" s="11" t="s">
        <v>246</v>
      </c>
    </row>
    <row r="46" customFormat="false" ht="72" hidden="false" customHeight="true" outlineLevel="0" collapsed="false">
      <c r="A46" s="11" t="s">
        <v>60</v>
      </c>
      <c r="B46" s="11" t="s">
        <v>576</v>
      </c>
      <c r="C46" s="11" t="s">
        <v>456</v>
      </c>
      <c r="D46" s="11" t="s">
        <v>577</v>
      </c>
      <c r="E46" s="11" t="s">
        <v>578</v>
      </c>
      <c r="F46" s="11" t="s">
        <v>579</v>
      </c>
      <c r="G46" s="11" t="s">
        <v>580</v>
      </c>
      <c r="H46" s="11" t="s">
        <v>246</v>
      </c>
    </row>
    <row r="47" customFormat="false" ht="72" hidden="false" customHeight="true" outlineLevel="0" collapsed="false">
      <c r="A47" s="11" t="s">
        <v>61</v>
      </c>
      <c r="B47" s="11" t="s">
        <v>581</v>
      </c>
      <c r="C47" s="11" t="s">
        <v>393</v>
      </c>
      <c r="D47" s="11" t="s">
        <v>582</v>
      </c>
      <c r="E47" s="11" t="s">
        <v>583</v>
      </c>
      <c r="F47" s="11" t="s">
        <v>584</v>
      </c>
      <c r="G47" s="11" t="s">
        <v>585</v>
      </c>
      <c r="H47" s="11" t="s">
        <v>285</v>
      </c>
    </row>
    <row r="48" customFormat="false" ht="72" hidden="false" customHeight="true" outlineLevel="0" collapsed="false">
      <c r="A48" s="11" t="s">
        <v>61</v>
      </c>
      <c r="B48" s="11" t="s">
        <v>531</v>
      </c>
      <c r="C48" s="11" t="s">
        <v>141</v>
      </c>
      <c r="D48" s="11" t="s">
        <v>586</v>
      </c>
      <c r="E48" s="11" t="s">
        <v>587</v>
      </c>
      <c r="F48" s="11" t="s">
        <v>588</v>
      </c>
      <c r="G48" s="11" t="s">
        <v>589</v>
      </c>
      <c r="H48" s="11" t="s">
        <v>285</v>
      </c>
    </row>
    <row r="49" customFormat="false" ht="72" hidden="false" customHeight="true" outlineLevel="0" collapsed="false">
      <c r="A49" s="11" t="s">
        <v>61</v>
      </c>
      <c r="B49" s="11" t="s">
        <v>590</v>
      </c>
      <c r="C49" s="11" t="s">
        <v>560</v>
      </c>
      <c r="D49" s="11" t="s">
        <v>591</v>
      </c>
      <c r="E49" s="11" t="s">
        <v>592</v>
      </c>
      <c r="F49" s="11" t="s">
        <v>593</v>
      </c>
      <c r="G49" s="11" t="s">
        <v>594</v>
      </c>
      <c r="H49" s="11" t="s">
        <v>285</v>
      </c>
    </row>
    <row r="50" customFormat="false" ht="72" hidden="false" customHeight="true" outlineLevel="0" collapsed="false">
      <c r="A50" s="11" t="s">
        <v>61</v>
      </c>
      <c r="B50" s="11" t="s">
        <v>595</v>
      </c>
      <c r="C50" s="11" t="s">
        <v>456</v>
      </c>
      <c r="D50" s="11" t="s">
        <v>596</v>
      </c>
      <c r="E50" s="11" t="s">
        <v>597</v>
      </c>
      <c r="F50" s="11" t="s">
        <v>598</v>
      </c>
      <c r="G50" s="11" t="s">
        <v>599</v>
      </c>
      <c r="H50" s="11" t="s">
        <v>285</v>
      </c>
    </row>
    <row r="51" customFormat="false" ht="72" hidden="false" customHeight="true" outlineLevel="0" collapsed="false">
      <c r="A51" s="11" t="s">
        <v>61</v>
      </c>
      <c r="B51" s="11" t="s">
        <v>600</v>
      </c>
      <c r="C51" s="11" t="s">
        <v>601</v>
      </c>
      <c r="D51" s="11" t="s">
        <v>602</v>
      </c>
      <c r="E51" s="11" t="s">
        <v>603</v>
      </c>
      <c r="F51" s="11" t="s">
        <v>604</v>
      </c>
      <c r="G51" s="11" t="s">
        <v>605</v>
      </c>
      <c r="H51" s="11" t="s">
        <v>285</v>
      </c>
    </row>
    <row r="52" customFormat="false" ht="72" hidden="false" customHeight="true" outlineLevel="0" collapsed="false">
      <c r="A52" s="11" t="s">
        <v>61</v>
      </c>
      <c r="B52" s="11" t="s">
        <v>606</v>
      </c>
      <c r="C52" s="11" t="s">
        <v>560</v>
      </c>
      <c r="D52" s="11" t="s">
        <v>607</v>
      </c>
      <c r="E52" s="11" t="s">
        <v>608</v>
      </c>
      <c r="F52" s="11" t="s">
        <v>609</v>
      </c>
      <c r="G52" s="11" t="s">
        <v>610</v>
      </c>
      <c r="H52" s="11" t="s">
        <v>285</v>
      </c>
    </row>
    <row r="53" customFormat="false" ht="72" hidden="false" customHeight="true" outlineLevel="0" collapsed="false">
      <c r="A53" s="11" t="s">
        <v>61</v>
      </c>
      <c r="B53" s="11" t="s">
        <v>611</v>
      </c>
      <c r="C53" s="11" t="s">
        <v>393</v>
      </c>
      <c r="D53" s="11" t="s">
        <v>612</v>
      </c>
      <c r="E53" s="11" t="s">
        <v>613</v>
      </c>
      <c r="F53" s="11" t="s">
        <v>614</v>
      </c>
      <c r="G53" s="11" t="s">
        <v>615</v>
      </c>
      <c r="H53" s="11" t="s">
        <v>285</v>
      </c>
    </row>
    <row r="54" customFormat="false" ht="72" hidden="false" customHeight="true" outlineLevel="0" collapsed="false">
      <c r="A54" s="11" t="s">
        <v>62</v>
      </c>
      <c r="B54" s="11" t="s">
        <v>511</v>
      </c>
      <c r="C54" s="11" t="s">
        <v>141</v>
      </c>
      <c r="D54" s="11" t="s">
        <v>616</v>
      </c>
      <c r="E54" s="11" t="s">
        <v>617</v>
      </c>
      <c r="F54" s="11" t="s">
        <v>618</v>
      </c>
      <c r="G54" s="11" t="s">
        <v>619</v>
      </c>
      <c r="H54" s="11" t="s">
        <v>338</v>
      </c>
    </row>
    <row r="55" customFormat="false" ht="72" hidden="false" customHeight="true" outlineLevel="0" collapsed="false">
      <c r="A55" s="11" t="s">
        <v>62</v>
      </c>
      <c r="B55" s="11" t="s">
        <v>620</v>
      </c>
      <c r="C55" s="11" t="s">
        <v>141</v>
      </c>
      <c r="D55" s="11" t="s">
        <v>621</v>
      </c>
      <c r="E55" s="11" t="s">
        <v>622</v>
      </c>
      <c r="F55" s="11" t="s">
        <v>623</v>
      </c>
      <c r="G55" s="11" t="s">
        <v>624</v>
      </c>
      <c r="H55" s="11" t="s">
        <v>338</v>
      </c>
    </row>
    <row r="56" customFormat="false" ht="72" hidden="false" customHeight="true" outlineLevel="0" collapsed="false">
      <c r="A56" s="11" t="s">
        <v>62</v>
      </c>
      <c r="B56" s="11" t="s">
        <v>625</v>
      </c>
      <c r="C56" s="11" t="s">
        <v>141</v>
      </c>
      <c r="D56" s="11" t="s">
        <v>626</v>
      </c>
      <c r="E56" s="11" t="s">
        <v>627</v>
      </c>
      <c r="F56" s="11" t="s">
        <v>628</v>
      </c>
      <c r="G56" s="11" t="s">
        <v>629</v>
      </c>
      <c r="H56" s="11" t="s">
        <v>338</v>
      </c>
    </row>
    <row r="57" customFormat="false" ht="72" hidden="false" customHeight="true" outlineLevel="0" collapsed="false">
      <c r="A57" s="11" t="s">
        <v>62</v>
      </c>
      <c r="B57" s="11" t="s">
        <v>565</v>
      </c>
      <c r="C57" s="11" t="s">
        <v>141</v>
      </c>
      <c r="D57" s="11" t="s">
        <v>630</v>
      </c>
      <c r="E57" s="11" t="s">
        <v>631</v>
      </c>
      <c r="F57" s="11" t="s">
        <v>632</v>
      </c>
      <c r="G57" s="11" t="s">
        <v>633</v>
      </c>
      <c r="H57" s="11" t="s">
        <v>338</v>
      </c>
    </row>
    <row r="58" customFormat="false" ht="72" hidden="false" customHeight="true" outlineLevel="0" collapsed="false">
      <c r="A58" s="11" t="s">
        <v>62</v>
      </c>
      <c r="B58" s="11" t="s">
        <v>590</v>
      </c>
      <c r="C58" s="11" t="s">
        <v>141</v>
      </c>
      <c r="D58" s="11" t="s">
        <v>634</v>
      </c>
      <c r="E58" s="11" t="s">
        <v>635</v>
      </c>
      <c r="F58" s="11" t="s">
        <v>636</v>
      </c>
      <c r="G58" s="11" t="s">
        <v>637</v>
      </c>
      <c r="H58" s="11" t="s">
        <v>338</v>
      </c>
    </row>
    <row r="59" customFormat="false" ht="72" hidden="false" customHeight="true" outlineLevel="0" collapsed="false">
      <c r="A59" s="11" t="s">
        <v>62</v>
      </c>
      <c r="B59" s="11" t="s">
        <v>496</v>
      </c>
      <c r="C59" s="11" t="s">
        <v>141</v>
      </c>
      <c r="D59" s="11" t="s">
        <v>638</v>
      </c>
      <c r="E59" s="11" t="s">
        <v>639</v>
      </c>
      <c r="F59" s="11" t="s">
        <v>640</v>
      </c>
      <c r="G59" s="11" t="s">
        <v>641</v>
      </c>
      <c r="H59" s="11" t="s">
        <v>338</v>
      </c>
    </row>
    <row r="60" customFormat="false" ht="72" hidden="false" customHeight="true" outlineLevel="0" collapsed="false">
      <c r="A60" s="11" t="s">
        <v>62</v>
      </c>
      <c r="B60" s="11" t="s">
        <v>595</v>
      </c>
      <c r="C60" s="11" t="s">
        <v>141</v>
      </c>
      <c r="D60" s="11" t="s">
        <v>642</v>
      </c>
      <c r="E60" s="11" t="s">
        <v>643</v>
      </c>
      <c r="F60" s="11" t="s">
        <v>644</v>
      </c>
      <c r="G60" s="11" t="s">
        <v>645</v>
      </c>
      <c r="H60" s="11" t="s">
        <v>338</v>
      </c>
    </row>
    <row r="61" customFormat="false" ht="72" hidden="false" customHeight="true" outlineLevel="0" collapsed="false">
      <c r="A61" s="11" t="s">
        <v>62</v>
      </c>
      <c r="B61" s="11" t="s">
        <v>525</v>
      </c>
      <c r="C61" s="11" t="s">
        <v>141</v>
      </c>
      <c r="D61" s="11" t="s">
        <v>646</v>
      </c>
      <c r="E61" s="11" t="s">
        <v>647</v>
      </c>
      <c r="F61" s="11" t="s">
        <v>648</v>
      </c>
      <c r="G61" s="11" t="s">
        <v>649</v>
      </c>
      <c r="H61" s="11" t="s">
        <v>338</v>
      </c>
    </row>
    <row r="62" customFormat="false" ht="72" hidden="false" customHeight="true" outlineLevel="0" collapsed="false">
      <c r="A62" s="11" t="s">
        <v>62</v>
      </c>
      <c r="B62" s="11" t="s">
        <v>531</v>
      </c>
      <c r="C62" s="11" t="s">
        <v>141</v>
      </c>
      <c r="D62" s="11" t="s">
        <v>650</v>
      </c>
      <c r="E62" s="11" t="s">
        <v>651</v>
      </c>
      <c r="F62" s="11" t="s">
        <v>652</v>
      </c>
      <c r="G62" s="11" t="s">
        <v>653</v>
      </c>
      <c r="H62" s="11" t="s">
        <v>338</v>
      </c>
    </row>
    <row r="63" customFormat="false" ht="72" hidden="false" customHeight="true" outlineLevel="0" collapsed="false">
      <c r="A63" s="11" t="s">
        <v>62</v>
      </c>
      <c r="B63" s="11" t="s">
        <v>654</v>
      </c>
      <c r="C63" s="11" t="s">
        <v>141</v>
      </c>
      <c r="D63" s="11" t="s">
        <v>655</v>
      </c>
      <c r="E63" s="11" t="s">
        <v>656</v>
      </c>
      <c r="F63" s="11" t="s">
        <v>657</v>
      </c>
      <c r="G63" s="11" t="s">
        <v>658</v>
      </c>
      <c r="H63" s="11" t="s">
        <v>338</v>
      </c>
    </row>
    <row r="64" customFormat="false" ht="72" hidden="false" customHeight="true" outlineLevel="0" collapsed="false">
      <c r="A64" s="11" t="s">
        <v>62</v>
      </c>
      <c r="B64" s="11" t="s">
        <v>570</v>
      </c>
      <c r="C64" s="11" t="s">
        <v>141</v>
      </c>
      <c r="D64" s="11" t="s">
        <v>659</v>
      </c>
      <c r="E64" s="11" t="s">
        <v>660</v>
      </c>
      <c r="F64" s="11" t="s">
        <v>661</v>
      </c>
      <c r="G64" s="11" t="s">
        <v>662</v>
      </c>
      <c r="H64" s="11" t="s">
        <v>338</v>
      </c>
    </row>
    <row r="65" customFormat="false" ht="72" hidden="false" customHeight="true" outlineLevel="0" collapsed="false">
      <c r="A65" s="11" t="s">
        <v>62</v>
      </c>
      <c r="B65" s="11" t="s">
        <v>663</v>
      </c>
      <c r="C65" s="11" t="s">
        <v>141</v>
      </c>
      <c r="D65" s="11" t="s">
        <v>664</v>
      </c>
      <c r="E65" s="11" t="s">
        <v>665</v>
      </c>
      <c r="F65" s="11" t="s">
        <v>666</v>
      </c>
      <c r="G65" s="11" t="s">
        <v>667</v>
      </c>
      <c r="H65" s="11" t="s">
        <v>338</v>
      </c>
    </row>
    <row r="66" customFormat="false" ht="72" hidden="false" customHeight="true" outlineLevel="0" collapsed="false">
      <c r="A66" s="11" t="s">
        <v>62</v>
      </c>
      <c r="B66" s="11" t="s">
        <v>606</v>
      </c>
      <c r="C66" s="11" t="s">
        <v>141</v>
      </c>
      <c r="D66" s="11" t="s">
        <v>668</v>
      </c>
      <c r="E66" s="11" t="s">
        <v>669</v>
      </c>
      <c r="F66" s="11" t="s">
        <v>670</v>
      </c>
      <c r="G66" s="11" t="s">
        <v>671</v>
      </c>
      <c r="H66" s="11" t="s">
        <v>338</v>
      </c>
    </row>
  </sheetData>
  <autoFilter ref="A5:H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3" min="3" style="0" width="45"/>
    <col collapsed="false" customWidth="true" hidden="false" outlineLevel="0" max="4" min="4" style="0" width="43"/>
    <col collapsed="false" customWidth="true" hidden="false" outlineLevel="0" max="6" min="5" style="0" width="45"/>
    <col collapsed="false" customWidth="true" hidden="false" outlineLevel="0" max="7" min="7" style="0" width="31"/>
    <col collapsed="false" customWidth="true" hidden="false" outlineLevel="0" max="8" min="8" style="0" width="70"/>
  </cols>
  <sheetData>
    <row r="2" customFormat="false" ht="19.7" hidden="false" customHeight="false" outlineLevel="0" collapsed="false">
      <c r="A2" s="1" t="s">
        <v>672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673</v>
      </c>
    </row>
    <row r="5" customFormat="false" ht="33.75" hidden="false" customHeight="true" outlineLevel="0" collapsed="false">
      <c r="A5" s="15" t="s">
        <v>674</v>
      </c>
      <c r="B5" s="15" t="s">
        <v>675</v>
      </c>
      <c r="C5" s="15" t="s">
        <v>676</v>
      </c>
      <c r="D5" s="15" t="s">
        <v>677</v>
      </c>
      <c r="E5" s="15" t="s">
        <v>678</v>
      </c>
      <c r="F5" s="15" t="s">
        <v>679</v>
      </c>
      <c r="G5" s="15" t="s">
        <v>680</v>
      </c>
      <c r="H5" s="15" t="s">
        <v>190</v>
      </c>
    </row>
    <row r="6" customFormat="false" ht="96" hidden="false" customHeight="true" outlineLevel="0" collapsed="false">
      <c r="A6" s="11" t="s">
        <v>681</v>
      </c>
      <c r="B6" s="11" t="s">
        <v>682</v>
      </c>
      <c r="C6" s="11" t="s">
        <v>683</v>
      </c>
      <c r="D6" s="11" t="s">
        <v>684</v>
      </c>
      <c r="E6" s="11" t="s">
        <v>685</v>
      </c>
      <c r="F6" s="11" t="s">
        <v>686</v>
      </c>
      <c r="G6" s="11" t="s">
        <v>687</v>
      </c>
      <c r="H6" s="11" t="s">
        <v>688</v>
      </c>
    </row>
    <row r="7" customFormat="false" ht="96" hidden="false" customHeight="true" outlineLevel="0" collapsed="false">
      <c r="A7" s="11" t="s">
        <v>689</v>
      </c>
      <c r="B7" s="11" t="s">
        <v>690</v>
      </c>
      <c r="C7" s="11" t="s">
        <v>691</v>
      </c>
      <c r="D7" s="11" t="s">
        <v>692</v>
      </c>
      <c r="E7" s="11" t="s">
        <v>693</v>
      </c>
      <c r="F7" s="11" t="s">
        <v>694</v>
      </c>
      <c r="G7" s="11" t="s">
        <v>687</v>
      </c>
      <c r="H7" s="11" t="s">
        <v>695</v>
      </c>
    </row>
    <row r="8" customFormat="false" ht="96" hidden="false" customHeight="true" outlineLevel="0" collapsed="false">
      <c r="A8" s="11" t="s">
        <v>696</v>
      </c>
      <c r="B8" s="11" t="s">
        <v>697</v>
      </c>
      <c r="C8" s="11" t="s">
        <v>698</v>
      </c>
      <c r="D8" s="11" t="s">
        <v>699</v>
      </c>
      <c r="E8" s="11" t="s">
        <v>700</v>
      </c>
      <c r="F8" s="11" t="s">
        <v>701</v>
      </c>
      <c r="G8" s="11" t="s">
        <v>687</v>
      </c>
      <c r="H8" s="11" t="s">
        <v>702</v>
      </c>
    </row>
    <row r="9" customFormat="false" ht="96" hidden="false" customHeight="true" outlineLevel="0" collapsed="false">
      <c r="A9" s="11" t="s">
        <v>703</v>
      </c>
      <c r="B9" s="11" t="s">
        <v>704</v>
      </c>
      <c r="C9" s="11" t="s">
        <v>705</v>
      </c>
      <c r="D9" s="11" t="s">
        <v>706</v>
      </c>
      <c r="E9" s="11" t="s">
        <v>707</v>
      </c>
      <c r="F9" s="11" t="s">
        <v>708</v>
      </c>
      <c r="G9" s="11" t="s">
        <v>687</v>
      </c>
      <c r="H9" s="11" t="s">
        <v>709</v>
      </c>
    </row>
  </sheetData>
  <autoFilter ref="A5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1"/>
    <col collapsed="false" customWidth="true" hidden="false" outlineLevel="0" max="3" min="3" style="0" width="51"/>
    <col collapsed="false" customWidth="true" hidden="false" outlineLevel="0" max="4" min="4" style="0" width="48"/>
    <col collapsed="false" customWidth="true" hidden="false" outlineLevel="0" max="5" min="5" style="0" width="51"/>
    <col collapsed="false" customWidth="true" hidden="false" outlineLevel="0" max="6" min="6" style="0" width="48"/>
  </cols>
  <sheetData>
    <row r="2" customFormat="false" ht="19.7" hidden="false" customHeight="false" outlineLevel="0" collapsed="false">
      <c r="A2" s="1" t="s">
        <v>710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711</v>
      </c>
    </row>
    <row r="5" customFormat="false" ht="33.75" hidden="false" customHeight="true" outlineLevel="0" collapsed="false">
      <c r="A5" s="16" t="s">
        <v>39</v>
      </c>
      <c r="B5" s="16" t="s">
        <v>712</v>
      </c>
      <c r="C5" s="16" t="s">
        <v>713</v>
      </c>
      <c r="D5" s="16" t="s">
        <v>714</v>
      </c>
      <c r="E5" s="16" t="s">
        <v>40</v>
      </c>
      <c r="F5" s="16" t="s">
        <v>715</v>
      </c>
    </row>
    <row r="6" customFormat="false" ht="85.5" hidden="false" customHeight="true" outlineLevel="0" collapsed="false">
      <c r="A6" s="11" t="n">
        <v>1</v>
      </c>
      <c r="B6" s="11" t="s">
        <v>716</v>
      </c>
      <c r="C6" s="11" t="s">
        <v>717</v>
      </c>
      <c r="D6" s="11" t="s">
        <v>718</v>
      </c>
      <c r="E6" s="11" t="s">
        <v>719</v>
      </c>
      <c r="F6" s="11" t="s">
        <v>720</v>
      </c>
    </row>
    <row r="7" customFormat="false" ht="85.5" hidden="false" customHeight="true" outlineLevel="0" collapsed="false">
      <c r="A7" s="11" t="n">
        <v>2</v>
      </c>
      <c r="B7" s="11" t="s">
        <v>721</v>
      </c>
      <c r="C7" s="11" t="s">
        <v>722</v>
      </c>
      <c r="D7" s="11" t="s">
        <v>723</v>
      </c>
      <c r="E7" s="11" t="s">
        <v>724</v>
      </c>
      <c r="F7" s="11" t="s">
        <v>725</v>
      </c>
    </row>
    <row r="8" customFormat="false" ht="85.5" hidden="false" customHeight="true" outlineLevel="0" collapsed="false">
      <c r="A8" s="11" t="n">
        <v>3</v>
      </c>
      <c r="B8" s="11" t="s">
        <v>726</v>
      </c>
      <c r="C8" s="11" t="s">
        <v>727</v>
      </c>
      <c r="D8" s="11" t="s">
        <v>728</v>
      </c>
      <c r="E8" s="11" t="s">
        <v>729</v>
      </c>
      <c r="F8" s="11" t="s">
        <v>730</v>
      </c>
    </row>
    <row r="9" customFormat="false" ht="85.5" hidden="false" customHeight="true" outlineLevel="0" collapsed="false">
      <c r="A9" s="11" t="n">
        <v>4</v>
      </c>
      <c r="B9" s="11" t="s">
        <v>731</v>
      </c>
      <c r="C9" s="11" t="s">
        <v>732</v>
      </c>
      <c r="D9" s="11" t="s">
        <v>733</v>
      </c>
      <c r="E9" s="11" t="s">
        <v>734</v>
      </c>
      <c r="F9" s="11" t="s">
        <v>735</v>
      </c>
    </row>
    <row r="10" customFormat="false" ht="85.5" hidden="false" customHeight="true" outlineLevel="0" collapsed="false">
      <c r="A10" s="11" t="n">
        <v>5</v>
      </c>
      <c r="B10" s="11" t="s">
        <v>736</v>
      </c>
      <c r="C10" s="11" t="s">
        <v>737</v>
      </c>
      <c r="D10" s="11" t="s">
        <v>738</v>
      </c>
      <c r="E10" s="11" t="s">
        <v>739</v>
      </c>
      <c r="F10" s="11" t="s">
        <v>740</v>
      </c>
    </row>
  </sheetData>
  <autoFilter ref="A5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7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68"/>
    <col collapsed="false" customWidth="true" hidden="false" outlineLevel="0" max="7" min="7" style="0" width="34"/>
    <col collapsed="false" customWidth="true" hidden="false" outlineLevel="0" max="8" min="8" style="0" width="32"/>
  </cols>
  <sheetData>
    <row r="2" customFormat="false" ht="19.7" hidden="false" customHeight="false" outlineLevel="0" collapsed="false">
      <c r="A2" s="1" t="s">
        <v>741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742</v>
      </c>
    </row>
    <row r="5" customFormat="false" ht="33.75" hidden="false" customHeight="true" outlineLevel="0" collapsed="false">
      <c r="A5" s="4" t="s">
        <v>743</v>
      </c>
      <c r="B5" s="4" t="s">
        <v>744</v>
      </c>
      <c r="C5" s="4" t="s">
        <v>745</v>
      </c>
      <c r="D5" s="4" t="s">
        <v>746</v>
      </c>
      <c r="E5" s="4" t="s">
        <v>747</v>
      </c>
      <c r="F5" s="4" t="s">
        <v>748</v>
      </c>
      <c r="G5" s="4" t="s">
        <v>749</v>
      </c>
      <c r="H5" s="4" t="s">
        <v>750</v>
      </c>
    </row>
    <row r="6" customFormat="false" ht="51.75" hidden="false" customHeight="true" outlineLevel="0" collapsed="false">
      <c r="A6" s="11" t="s">
        <v>751</v>
      </c>
      <c r="B6" s="11" t="s">
        <v>752</v>
      </c>
      <c r="C6" s="11" t="s">
        <v>246</v>
      </c>
      <c r="D6" s="17" t="n">
        <v>9053</v>
      </c>
      <c r="E6" s="17" t="n">
        <v>717474</v>
      </c>
      <c r="F6" s="11" t="s">
        <v>753</v>
      </c>
      <c r="G6" s="11" t="s">
        <v>754</v>
      </c>
      <c r="H6" s="11" t="s">
        <v>755</v>
      </c>
    </row>
    <row r="7" customFormat="false" ht="51.75" hidden="false" customHeight="true" outlineLevel="0" collapsed="false">
      <c r="A7" s="11" t="s">
        <v>751</v>
      </c>
      <c r="B7" s="11" t="s">
        <v>752</v>
      </c>
      <c r="C7" s="11" t="s">
        <v>195</v>
      </c>
      <c r="D7" s="17" t="n">
        <v>6700</v>
      </c>
      <c r="E7" s="17" t="n">
        <v>574888</v>
      </c>
      <c r="F7" s="11" t="s">
        <v>756</v>
      </c>
      <c r="G7" s="11" t="s">
        <v>754</v>
      </c>
      <c r="H7" s="11" t="s">
        <v>755</v>
      </c>
    </row>
    <row r="8" customFormat="false" ht="51.75" hidden="false" customHeight="true" outlineLevel="0" collapsed="false">
      <c r="A8" s="11" t="s">
        <v>757</v>
      </c>
      <c r="B8" s="11" t="s">
        <v>758</v>
      </c>
      <c r="C8" s="11" t="s">
        <v>688</v>
      </c>
      <c r="D8" s="17" t="n">
        <v>5652</v>
      </c>
      <c r="E8" s="17" t="n">
        <v>440786</v>
      </c>
      <c r="F8" s="11" t="s">
        <v>759</v>
      </c>
      <c r="G8" s="11" t="s">
        <v>760</v>
      </c>
      <c r="H8" s="11" t="s">
        <v>761</v>
      </c>
    </row>
    <row r="9" customFormat="false" ht="51.75" hidden="false" customHeight="true" outlineLevel="0" collapsed="false">
      <c r="A9" s="11" t="s">
        <v>757</v>
      </c>
      <c r="B9" s="11" t="s">
        <v>758</v>
      </c>
      <c r="C9" s="11" t="s">
        <v>695</v>
      </c>
      <c r="D9" s="17" t="n">
        <v>3351</v>
      </c>
      <c r="E9" s="17" t="n">
        <v>258593</v>
      </c>
      <c r="F9" s="11" t="s">
        <v>762</v>
      </c>
      <c r="G9" s="11" t="s">
        <v>760</v>
      </c>
      <c r="H9" s="11" t="s">
        <v>761</v>
      </c>
    </row>
    <row r="10" customFormat="false" ht="51.75" hidden="false" customHeight="true" outlineLevel="0" collapsed="false">
      <c r="A10" s="11" t="s">
        <v>751</v>
      </c>
      <c r="B10" s="11" t="s">
        <v>752</v>
      </c>
      <c r="C10" s="11" t="s">
        <v>285</v>
      </c>
      <c r="D10" s="17" t="n">
        <v>3527</v>
      </c>
      <c r="E10" s="17" t="n">
        <v>286608</v>
      </c>
      <c r="F10" s="11" t="s">
        <v>763</v>
      </c>
      <c r="G10" s="11" t="s">
        <v>754</v>
      </c>
      <c r="H10" s="11" t="s">
        <v>755</v>
      </c>
    </row>
    <row r="11" customFormat="false" ht="51.75" hidden="false" customHeight="true" outlineLevel="0" collapsed="false">
      <c r="A11" s="11" t="s">
        <v>757</v>
      </c>
      <c r="B11" s="11" t="s">
        <v>758</v>
      </c>
      <c r="C11" s="11" t="s">
        <v>709</v>
      </c>
      <c r="D11" s="17" t="n">
        <v>1526</v>
      </c>
      <c r="E11" s="17" t="n">
        <v>98099</v>
      </c>
      <c r="F11" s="11" t="s">
        <v>764</v>
      </c>
      <c r="G11" s="11" t="s">
        <v>760</v>
      </c>
      <c r="H11" s="11" t="s">
        <v>761</v>
      </c>
    </row>
    <row r="12" customFormat="false" ht="51.75" hidden="false" customHeight="true" outlineLevel="0" collapsed="false">
      <c r="A12" s="11" t="s">
        <v>757</v>
      </c>
      <c r="B12" s="11" t="s">
        <v>758</v>
      </c>
      <c r="C12" s="11" t="s">
        <v>702</v>
      </c>
      <c r="D12" s="17" t="n">
        <v>1248</v>
      </c>
      <c r="E12" s="17" t="n">
        <v>132724</v>
      </c>
      <c r="F12" s="11" t="s">
        <v>765</v>
      </c>
      <c r="G12" s="11" t="s">
        <v>760</v>
      </c>
      <c r="H12" s="11" t="s">
        <v>761</v>
      </c>
    </row>
    <row r="13" customFormat="false" ht="51.75" hidden="false" customHeight="true" outlineLevel="0" collapsed="false">
      <c r="A13" s="11" t="s">
        <v>751</v>
      </c>
      <c r="B13" s="11" t="s">
        <v>752</v>
      </c>
      <c r="C13" s="11" t="s">
        <v>338</v>
      </c>
      <c r="D13" s="17" t="n">
        <v>1544</v>
      </c>
      <c r="E13" s="17" t="n">
        <v>97834</v>
      </c>
      <c r="F13" s="11" t="s">
        <v>766</v>
      </c>
      <c r="G13" s="11" t="s">
        <v>754</v>
      </c>
      <c r="H13" s="11" t="s">
        <v>755</v>
      </c>
    </row>
    <row r="16" customFormat="false" ht="43.5" hidden="false" customHeight="true" outlineLevel="0" collapsed="false">
      <c r="A16" s="18" t="s">
        <v>767</v>
      </c>
      <c r="B16" s="18" t="s">
        <v>768</v>
      </c>
      <c r="C16" s="18"/>
      <c r="D16" s="18"/>
      <c r="E16" s="18"/>
      <c r="F16" s="18"/>
      <c r="G16" s="18"/>
      <c r="H16" s="18"/>
    </row>
    <row r="17" customFormat="false" ht="43.5" hidden="false" customHeight="true" outlineLevel="0" collapsed="false">
      <c r="A17" s="19" t="s">
        <v>769</v>
      </c>
      <c r="B17" s="19" t="s">
        <v>770</v>
      </c>
      <c r="C17" s="19"/>
      <c r="D17" s="19"/>
      <c r="E17" s="19"/>
      <c r="F17" s="19"/>
      <c r="G17" s="19"/>
      <c r="H17" s="19"/>
    </row>
  </sheetData>
  <autoFilter ref="A5:H13"/>
  <mergeCells count="2"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2026-10-07T06:18:12Z</dcterms:created>
  <dc:creator>openpyxl</dc:creator>
  <dc:description/>
  <dc:language>en-US</dc:language>
  <cp:lastModifiedBy/>
  <dcterms:modified xsi:type="dcterms:W3CDTF">2026-10-07T06:18:13Z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